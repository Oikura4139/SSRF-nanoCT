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\我的文档\苏州国家实验室\SSRF-nanoCT\06_预算评估\"/>
    </mc:Choice>
  </mc:AlternateContent>
  <xr:revisionPtr revIDLastSave="0" documentId="13_ncr:1_{CCFDAB11-11D1-4962-9D80-90EA51CD8C0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预算摘要" sheetId="1" r:id="rId1"/>
    <sheet name="假设与口径" sheetId="2" r:id="rId2"/>
    <sheet name="算力模型" sheetId="3" r:id="rId3"/>
    <sheet name="人力模型" sheetId="4" r:id="rId4"/>
    <sheet name="L1明细" sheetId="5" r:id="rId5"/>
    <sheet name="L2明细" sheetId="6" r:id="rId6"/>
    <sheet name="L3明细" sheetId="7" r:id="rId7"/>
    <sheet name="版本差异" sheetId="8" r:id="rId8"/>
    <sheet name="来源" sheetId="9" r:id="rId9"/>
    <sheet name="分年预算" sheetId="10" r:id="rId10"/>
  </sheets>
  <definedNames>
    <definedName name="_xlnm._FilterDatabase" localSheetId="4" hidden="1">L1明细!$A$7:$J$27</definedName>
    <definedName name="_xlnm._FilterDatabase" localSheetId="5" hidden="1">L2明细!$A$7:$J$29</definedName>
    <definedName name="_xlnm._FilterDatabase" localSheetId="6" hidden="1">L3明细!$A$7:$J$32</definedName>
    <definedName name="_xlnm._FilterDatabase" localSheetId="1" hidden="1">假设与口径!$A$7:$G$22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4" i="7" l="1"/>
  <c r="H23" i="7"/>
  <c r="H22" i="7"/>
  <c r="M10" i="7" s="1"/>
  <c r="E12" i="1" s="1"/>
  <c r="H21" i="7"/>
  <c r="H20" i="7"/>
  <c r="F19" i="7"/>
  <c r="F18" i="7"/>
  <c r="F17" i="7"/>
  <c r="E16" i="7"/>
  <c r="E15" i="7"/>
  <c r="H14" i="7"/>
  <c r="H13" i="7"/>
  <c r="H12" i="7"/>
  <c r="H11" i="7"/>
  <c r="H10" i="7"/>
  <c r="H9" i="7"/>
  <c r="M8" i="7"/>
  <c r="C12" i="1" s="1"/>
  <c r="H8" i="7"/>
  <c r="H21" i="6"/>
  <c r="H20" i="6"/>
  <c r="H19" i="6"/>
  <c r="H18" i="6"/>
  <c r="G17" i="6"/>
  <c r="F17" i="6"/>
  <c r="F16" i="6"/>
  <c r="F15" i="6"/>
  <c r="E15" i="6"/>
  <c r="E14" i="6"/>
  <c r="H13" i="6"/>
  <c r="H12" i="6"/>
  <c r="H11" i="6"/>
  <c r="M10" i="6"/>
  <c r="E11" i="1" s="1"/>
  <c r="H10" i="6"/>
  <c r="H9" i="6"/>
  <c r="H8" i="6"/>
  <c r="F20" i="5"/>
  <c r="H19" i="5"/>
  <c r="H18" i="5"/>
  <c r="H17" i="5"/>
  <c r="H16" i="5"/>
  <c r="M10" i="5" s="1"/>
  <c r="E10" i="1" s="1"/>
  <c r="F15" i="5"/>
  <c r="F14" i="5"/>
  <c r="H14" i="5" s="1"/>
  <c r="F13" i="5"/>
  <c r="E13" i="5"/>
  <c r="H12" i="5"/>
  <c r="H11" i="5"/>
  <c r="H10" i="5"/>
  <c r="H9" i="5"/>
  <c r="M8" i="5"/>
  <c r="C10" i="1" s="1"/>
  <c r="H8" i="5"/>
  <c r="E14" i="4"/>
  <c r="E32" i="7" s="1"/>
  <c r="D14" i="4"/>
  <c r="E29" i="6" s="1"/>
  <c r="C14" i="4"/>
  <c r="E27" i="5" s="1"/>
  <c r="E13" i="4"/>
  <c r="E31" i="7" s="1"/>
  <c r="D13" i="4"/>
  <c r="E28" i="6" s="1"/>
  <c r="C13" i="4"/>
  <c r="E26" i="5" s="1"/>
  <c r="B13" i="4"/>
  <c r="H13" i="4" s="1"/>
  <c r="E12" i="4"/>
  <c r="E30" i="7" s="1"/>
  <c r="D12" i="4"/>
  <c r="E27" i="6" s="1"/>
  <c r="C12" i="4"/>
  <c r="E25" i="5" s="1"/>
  <c r="B12" i="4"/>
  <c r="F27" i="6" s="1"/>
  <c r="E11" i="4"/>
  <c r="E29" i="7" s="1"/>
  <c r="D11" i="4"/>
  <c r="E26" i="6" s="1"/>
  <c r="C11" i="4"/>
  <c r="E24" i="5" s="1"/>
  <c r="E10" i="4"/>
  <c r="D10" i="4"/>
  <c r="E25" i="6" s="1"/>
  <c r="C10" i="4"/>
  <c r="E23" i="5" s="1"/>
  <c r="B10" i="4"/>
  <c r="F28" i="7" s="1"/>
  <c r="E9" i="4"/>
  <c r="E27" i="7" s="1"/>
  <c r="D9" i="4"/>
  <c r="E24" i="6" s="1"/>
  <c r="C9" i="4"/>
  <c r="E22" i="5" s="1"/>
  <c r="E8" i="4"/>
  <c r="E26" i="7" s="1"/>
  <c r="D8" i="4"/>
  <c r="C8" i="4"/>
  <c r="E21" i="5" s="1"/>
  <c r="B8" i="4"/>
  <c r="F26" i="7" s="1"/>
  <c r="E7" i="4"/>
  <c r="E25" i="7" s="1"/>
  <c r="D7" i="4"/>
  <c r="E22" i="6" s="1"/>
  <c r="C7" i="4"/>
  <c r="B7" i="4"/>
  <c r="F22" i="6" s="1"/>
  <c r="H19" i="3"/>
  <c r="G17" i="7" s="1"/>
  <c r="H18" i="3"/>
  <c r="G14" i="6" s="1"/>
  <c r="H17" i="3"/>
  <c r="G14" i="5" s="1"/>
  <c r="B12" i="3"/>
  <c r="B11" i="3"/>
  <c r="F16" i="7" s="1"/>
  <c r="B10" i="3"/>
  <c r="C26" i="2"/>
  <c r="B9" i="4" s="1"/>
  <c r="D15" i="4" l="1"/>
  <c r="G18" i="7"/>
  <c r="F23" i="5"/>
  <c r="H23" i="5"/>
  <c r="H18" i="7"/>
  <c r="G10" i="4"/>
  <c r="F7" i="4"/>
  <c r="H25" i="5"/>
  <c r="H12" i="4"/>
  <c r="G17" i="3"/>
  <c r="I17" i="3" s="1"/>
  <c r="G18" i="3"/>
  <c r="I18" i="3" s="1"/>
  <c r="F25" i="6"/>
  <c r="H25" i="6" s="1"/>
  <c r="G19" i="3"/>
  <c r="I19" i="3" s="1"/>
  <c r="G12" i="4"/>
  <c r="F23" i="6"/>
  <c r="H10" i="4"/>
  <c r="B14" i="4"/>
  <c r="F32" i="7" s="1"/>
  <c r="H17" i="7"/>
  <c r="F10" i="4"/>
  <c r="F14" i="6"/>
  <c r="H14" i="6" s="1"/>
  <c r="F28" i="6"/>
  <c r="H28" i="6" s="1"/>
  <c r="F25" i="5"/>
  <c r="E20" i="5"/>
  <c r="H20" i="5" s="1"/>
  <c r="H17" i="6"/>
  <c r="F22" i="5"/>
  <c r="H22" i="5" s="1"/>
  <c r="F24" i="6"/>
  <c r="H24" i="6" s="1"/>
  <c r="H9" i="4"/>
  <c r="G9" i="4"/>
  <c r="F27" i="7"/>
  <c r="H27" i="7" s="1"/>
  <c r="F9" i="4"/>
  <c r="H32" i="7"/>
  <c r="H22" i="6"/>
  <c r="H27" i="6"/>
  <c r="H26" i="7"/>
  <c r="M8" i="6"/>
  <c r="C11" i="1" s="1"/>
  <c r="G19" i="7"/>
  <c r="H19" i="7" s="1"/>
  <c r="E28" i="7"/>
  <c r="H28" i="7" s="1"/>
  <c r="C15" i="4"/>
  <c r="G15" i="5"/>
  <c r="H15" i="5" s="1"/>
  <c r="E23" i="6"/>
  <c r="G15" i="6"/>
  <c r="H15" i="6" s="1"/>
  <c r="G7" i="4"/>
  <c r="H7" i="4"/>
  <c r="G16" i="6"/>
  <c r="H16" i="6" s="1"/>
  <c r="F15" i="7"/>
  <c r="F12" i="4"/>
  <c r="G15" i="7"/>
  <c r="G16" i="7"/>
  <c r="H16" i="7" s="1"/>
  <c r="F30" i="7"/>
  <c r="H30" i="7" s="1"/>
  <c r="G8" i="4"/>
  <c r="B11" i="4"/>
  <c r="G13" i="5"/>
  <c r="H13" i="5" s="1"/>
  <c r="F21" i="5"/>
  <c r="H21" i="5" s="1"/>
  <c r="F25" i="7"/>
  <c r="H25" i="7" s="1"/>
  <c r="E15" i="4"/>
  <c r="F8" i="4"/>
  <c r="F26" i="5"/>
  <c r="H26" i="5" s="1"/>
  <c r="H8" i="4"/>
  <c r="F13" i="4"/>
  <c r="F31" i="7"/>
  <c r="H31" i="7" s="1"/>
  <c r="G13" i="4"/>
  <c r="H23" i="6" l="1"/>
  <c r="H14" i="4"/>
  <c r="F27" i="4"/>
  <c r="F26" i="4"/>
  <c r="F25" i="4"/>
  <c r="F27" i="5"/>
  <c r="H27" i="5" s="1"/>
  <c r="G14" i="4"/>
  <c r="F29" i="6"/>
  <c r="H29" i="6" s="1"/>
  <c r="F14" i="4"/>
  <c r="M9" i="5"/>
  <c r="D10" i="1" s="1"/>
  <c r="F11" i="4"/>
  <c r="F15" i="4" s="1"/>
  <c r="F29" i="7"/>
  <c r="H29" i="7" s="1"/>
  <c r="M11" i="7" s="1"/>
  <c r="F12" i="1" s="1"/>
  <c r="F26" i="6"/>
  <c r="H26" i="6" s="1"/>
  <c r="H31" i="6" s="1"/>
  <c r="F24" i="5"/>
  <c r="H24" i="5" s="1"/>
  <c r="M11" i="5" s="1"/>
  <c r="F10" i="1" s="1"/>
  <c r="H11" i="4"/>
  <c r="H15" i="4" s="1"/>
  <c r="G11" i="4"/>
  <c r="G15" i="4" s="1"/>
  <c r="H15" i="7"/>
  <c r="M9" i="6"/>
  <c r="D11" i="1" s="1"/>
  <c r="M11" i="6" l="1"/>
  <c r="F11" i="1" s="1"/>
  <c r="J11" i="1" s="1"/>
  <c r="H32" i="6"/>
  <c r="G11" i="1" s="1"/>
  <c r="L11" i="1"/>
  <c r="M9" i="7"/>
  <c r="D12" i="1" s="1"/>
  <c r="H34" i="7"/>
  <c r="H29" i="5"/>
  <c r="J10" i="1"/>
  <c r="K10" i="1"/>
  <c r="L10" i="1"/>
  <c r="K11" i="1" l="1"/>
  <c r="H30" i="5"/>
  <c r="G10" i="1" s="1"/>
  <c r="J12" i="1"/>
  <c r="L12" i="1"/>
  <c r="K12" i="1"/>
  <c r="H35" i="7"/>
  <c r="G12" i="1" s="1"/>
  <c r="H33" i="6"/>
  <c r="H11" i="1" s="1"/>
  <c r="H36" i="7" l="1"/>
  <c r="H12" i="1" s="1"/>
  <c r="G7" i="10"/>
  <c r="E7" i="10"/>
  <c r="C7" i="10"/>
  <c r="H7" i="10" s="1"/>
  <c r="I11" i="1"/>
  <c r="H31" i="5"/>
  <c r="H10" i="1" s="1"/>
  <c r="I10" i="1" l="1"/>
  <c r="G6" i="10"/>
  <c r="E6" i="10"/>
  <c r="C6" i="10"/>
  <c r="G8" i="10"/>
  <c r="I12" i="1"/>
  <c r="C8" i="10"/>
  <c r="H8" i="10" s="1"/>
  <c r="E8" i="10"/>
  <c r="H6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L10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年度运行费=硬件备件/更新预留5%+年度算力租赁+年度外部软件许可+团队制年度运维人力。</t>
        </r>
      </text>
    </comment>
    <comment ref="L1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年度运行费=硬件备件/更新预留5%+年度算力租赁+年度外部软件许可+团队制年度运维人力。</t>
        </r>
      </text>
    </comment>
    <comment ref="L12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年度运行费=硬件备件/更新预留5%+年度算力租赁+年度外部软件许可+团队制年度运维人力。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8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可编辑预算假设；对应A-001。</t>
        </r>
      </text>
    </comment>
    <comment ref="C9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可编辑预算假设；对应A-002。</t>
        </r>
      </text>
    </comment>
    <comment ref="C10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可编辑预算假设；对应A-003。</t>
        </r>
      </text>
    </comment>
    <comment ref="C11" authorId="0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可编辑预算假设；对应A-004。</t>
        </r>
      </text>
    </comment>
    <comment ref="C12" authorId="0" shapeId="0" xr:uid="{00000000-0006-0000-0100-000005000000}">
      <text>
        <r>
          <rPr>
            <sz val="11"/>
            <color theme="1"/>
            <rFont val="宋体"/>
            <family val="2"/>
            <scheme val="minor"/>
          </rPr>
          <t>可编辑预算假设；对应A-005。</t>
        </r>
      </text>
    </comment>
    <comment ref="C13" authorId="0" shapeId="0" xr:uid="{00000000-0006-0000-0100-000006000000}">
      <text>
        <r>
          <rPr>
            <sz val="11"/>
            <color theme="1"/>
            <rFont val="宋体"/>
            <family val="2"/>
            <scheme val="minor"/>
          </rPr>
          <t>可编辑预算假设；对应A-006。</t>
        </r>
      </text>
    </comment>
    <comment ref="C14" authorId="0" shapeId="0" xr:uid="{00000000-0006-0000-0100-000007000000}">
      <text>
        <r>
          <rPr>
            <sz val="11"/>
            <color theme="1"/>
            <rFont val="宋体"/>
            <family val="2"/>
            <scheme val="minor"/>
          </rPr>
          <t>可编辑预算假设；对应A-007。</t>
        </r>
      </text>
    </comment>
    <comment ref="C15" authorId="0" shapeId="0" xr:uid="{00000000-0006-0000-0100-000008000000}">
      <text>
        <r>
          <rPr>
            <sz val="11"/>
            <color theme="1"/>
            <rFont val="宋体"/>
            <family val="2"/>
            <scheme val="minor"/>
          </rPr>
          <t>可编辑预算假设；对应A-008。</t>
        </r>
      </text>
    </comment>
    <comment ref="C16" authorId="0" shapeId="0" xr:uid="{00000000-0006-0000-0100-000009000000}">
      <text>
        <r>
          <rPr>
            <sz val="11"/>
            <color theme="1"/>
            <rFont val="宋体"/>
            <family val="2"/>
            <scheme val="minor"/>
          </rPr>
          <t>可编辑预算假设；对应A-009。</t>
        </r>
      </text>
    </comment>
    <comment ref="C17" authorId="0" shapeId="0" xr:uid="{00000000-0006-0000-0100-00000A000000}">
      <text>
        <r>
          <rPr>
            <sz val="11"/>
            <color theme="1"/>
            <rFont val="宋体"/>
            <family val="2"/>
            <scheme val="minor"/>
          </rPr>
          <t>可编辑预算假设；对应A-010。</t>
        </r>
      </text>
    </comment>
    <comment ref="D17" authorId="0" shapeId="0" xr:uid="{00000000-0006-0000-0100-00000B000000}">
      <text>
        <r>
          <rPr>
            <sz val="11"/>
            <color theme="1"/>
            <rFont val="宋体"/>
            <family val="2"/>
            <scheme val="minor"/>
          </rPr>
          <t>可编辑预算假设；对应A-010。</t>
        </r>
      </text>
    </comment>
    <comment ref="E17" authorId="0" shapeId="0" xr:uid="{00000000-0006-0000-0100-00000C000000}">
      <text>
        <r>
          <rPr>
            <sz val="11"/>
            <color theme="1"/>
            <rFont val="宋体"/>
            <family val="2"/>
            <scheme val="minor"/>
          </rPr>
          <t>可编辑预算假设；对应A-010。</t>
        </r>
      </text>
    </comment>
    <comment ref="C18" authorId="0" shapeId="0" xr:uid="{00000000-0006-0000-0100-00000D000000}">
      <text>
        <r>
          <rPr>
            <sz val="11"/>
            <color theme="1"/>
            <rFont val="宋体"/>
            <family val="2"/>
            <scheme val="minor"/>
          </rPr>
          <t>可编辑预算假设；对应A-011。</t>
        </r>
      </text>
    </comment>
    <comment ref="D18" authorId="0" shapeId="0" xr:uid="{00000000-0006-0000-0100-00000E000000}">
      <text>
        <r>
          <rPr>
            <sz val="11"/>
            <color theme="1"/>
            <rFont val="宋体"/>
            <family val="2"/>
            <scheme val="minor"/>
          </rPr>
          <t>可编辑预算假设；对应A-011。</t>
        </r>
      </text>
    </comment>
    <comment ref="E18" authorId="0" shapeId="0" xr:uid="{00000000-0006-0000-0100-00000F000000}">
      <text>
        <r>
          <rPr>
            <sz val="11"/>
            <color theme="1"/>
            <rFont val="宋体"/>
            <family val="2"/>
            <scheme val="minor"/>
          </rPr>
          <t>可编辑预算假设；对应A-011。</t>
        </r>
      </text>
    </comment>
    <comment ref="C19" authorId="0" shapeId="0" xr:uid="{00000000-0006-0000-0100-000010000000}">
      <text>
        <r>
          <rPr>
            <sz val="11"/>
            <color theme="1"/>
            <rFont val="宋体"/>
            <family val="2"/>
            <scheme val="minor"/>
          </rPr>
          <t>可编辑预算假设；对应A-012。</t>
        </r>
      </text>
    </comment>
    <comment ref="D19" authorId="0" shapeId="0" xr:uid="{00000000-0006-0000-0100-000011000000}">
      <text>
        <r>
          <rPr>
            <sz val="11"/>
            <color theme="1"/>
            <rFont val="宋体"/>
            <family val="2"/>
            <scheme val="minor"/>
          </rPr>
          <t>可编辑预算假设；对应A-012。</t>
        </r>
      </text>
    </comment>
    <comment ref="E19" authorId="0" shapeId="0" xr:uid="{00000000-0006-0000-0100-000012000000}">
      <text>
        <r>
          <rPr>
            <sz val="11"/>
            <color theme="1"/>
            <rFont val="宋体"/>
            <family val="2"/>
            <scheme val="minor"/>
          </rPr>
          <t>可编辑预算假设；对应A-012。</t>
        </r>
      </text>
    </comment>
    <comment ref="C20" authorId="0" shapeId="0" xr:uid="{00000000-0006-0000-0100-000013000000}">
      <text>
        <r>
          <rPr>
            <sz val="11"/>
            <color theme="1"/>
            <rFont val="宋体"/>
            <family val="2"/>
            <scheme val="minor"/>
          </rPr>
          <t>可编辑预算假设；对应A-013。</t>
        </r>
      </text>
    </comment>
    <comment ref="D20" authorId="0" shapeId="0" xr:uid="{00000000-0006-0000-0100-000014000000}">
      <text>
        <r>
          <rPr>
            <sz val="11"/>
            <color theme="1"/>
            <rFont val="宋体"/>
            <family val="2"/>
            <scheme val="minor"/>
          </rPr>
          <t>可编辑预算假设；对应A-013。</t>
        </r>
      </text>
    </comment>
    <comment ref="E20" authorId="0" shapeId="0" xr:uid="{00000000-0006-0000-0100-000015000000}">
      <text>
        <r>
          <rPr>
            <sz val="11"/>
            <color theme="1"/>
            <rFont val="宋体"/>
            <family val="2"/>
            <scheme val="minor"/>
          </rPr>
          <t>可编辑预算假设；对应A-013。</t>
        </r>
      </text>
    </comment>
    <comment ref="C21" authorId="0" shapeId="0" xr:uid="{00000000-0006-0000-0100-000016000000}">
      <text>
        <r>
          <rPr>
            <sz val="11"/>
            <color theme="1"/>
            <rFont val="宋体"/>
            <family val="2"/>
            <scheme val="minor"/>
          </rPr>
          <t>可编辑预算假设；对应A-014。</t>
        </r>
      </text>
    </comment>
    <comment ref="C22" authorId="0" shapeId="0" xr:uid="{00000000-0006-0000-0100-000017000000}">
      <text>
        <r>
          <rPr>
            <sz val="11"/>
            <color theme="1"/>
            <rFont val="宋体"/>
            <family val="2"/>
            <scheme val="minor"/>
          </rPr>
          <t>可编辑预算假设；对应A-015。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公开价格或汇率锚点；不要将其直接当作国内最终含税采购价。</t>
        </r>
      </text>
    </comment>
    <comment ref="B7" authorId="0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公开价格或汇率锚点；不要将其直接当作国内最终含税采购价。</t>
        </r>
      </text>
    </comment>
    <comment ref="B8" authorId="0" shapeId="0" xr:uid="{00000000-0006-0000-0200-000003000000}">
      <text>
        <r>
          <rPr>
            <sz val="11"/>
            <color theme="1"/>
            <rFont val="宋体"/>
            <family val="2"/>
            <scheme val="minor"/>
          </rPr>
          <t>公开价格或汇率锚点；不要将其直接当作国内最终含税采购价。</t>
        </r>
      </text>
    </comment>
    <comment ref="B9" authorId="0" shapeId="0" xr:uid="{00000000-0006-0000-0200-000004000000}">
      <text>
        <r>
          <rPr>
            <sz val="11"/>
            <color theme="1"/>
            <rFont val="宋体"/>
            <family val="2"/>
            <scheme val="minor"/>
          </rPr>
          <t>公开价格或汇率锚点；不要将其直接当作国内最终含税采购价。</t>
        </r>
      </text>
    </comment>
    <comment ref="B17" authorId="0" shapeId="0" xr:uid="{00000000-0006-0000-0200-000005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C17" authorId="0" shapeId="0" xr:uid="{00000000-0006-0000-0200-000006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D17" authorId="0" shapeId="0" xr:uid="{00000000-0006-0000-0200-000007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E17" authorId="0" shapeId="0" xr:uid="{00000000-0006-0000-0200-000008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F17" authorId="0" shapeId="0" xr:uid="{00000000-0006-0000-0200-000009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B18" authorId="0" shapeId="0" xr:uid="{00000000-0006-0000-0200-00000A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C18" authorId="0" shapeId="0" xr:uid="{00000000-0006-0000-0200-00000B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D18" authorId="0" shapeId="0" xr:uid="{00000000-0006-0000-0200-00000C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E18" authorId="0" shapeId="0" xr:uid="{00000000-0006-0000-0200-00000D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F18" authorId="0" shapeId="0" xr:uid="{00000000-0006-0000-0200-00000E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B19" authorId="0" shapeId="0" xr:uid="{00000000-0006-0000-0200-00000F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C19" authorId="0" shapeId="0" xr:uid="{00000000-0006-0000-0200-000010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D19" authorId="0" shapeId="0" xr:uid="{00000000-0006-0000-0200-000011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E19" authorId="0" shapeId="0" xr:uid="{00000000-0006-0000-0200-000012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  <comment ref="F19" authorId="0" shapeId="0" xr:uid="{00000000-0006-0000-0200-000013000000}">
      <text>
        <r>
          <rPr>
            <sz val="11"/>
            <color theme="1"/>
            <rFont val="宋体"/>
            <family val="2"/>
            <scheme val="minor"/>
          </rPr>
          <t>用量假设；应以试运行日志和云供应商报价替换。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7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C7" authorId="0" shapeId="0" xr:uid="{00000000-0006-0000-0300-000002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D7" authorId="0" shapeId="0" xr:uid="{00000000-0006-0000-0300-000003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E7" authorId="0" shapeId="0" xr:uid="{00000000-0006-0000-0300-000004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B8" authorId="0" shapeId="0" xr:uid="{00000000-0006-0000-0300-000005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C8" authorId="0" shapeId="0" xr:uid="{00000000-0006-0000-0300-000006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D8" authorId="0" shapeId="0" xr:uid="{00000000-0006-0000-0300-000007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E8" authorId="0" shapeId="0" xr:uid="{00000000-0006-0000-0300-000008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B9" authorId="0" shapeId="0" xr:uid="{00000000-0006-0000-0300-000009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C9" authorId="0" shapeId="0" xr:uid="{00000000-0006-0000-0300-00000A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D9" authorId="0" shapeId="0" xr:uid="{00000000-0006-0000-0300-00000B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E9" authorId="0" shapeId="0" xr:uid="{00000000-0006-0000-0300-00000C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B10" authorId="0" shapeId="0" xr:uid="{00000000-0006-0000-0300-00000D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C10" authorId="0" shapeId="0" xr:uid="{00000000-0006-0000-0300-00000E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D10" authorId="0" shapeId="0" xr:uid="{00000000-0006-0000-0300-00000F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E10" authorId="0" shapeId="0" xr:uid="{00000000-0006-0000-0300-000010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B11" authorId="0" shapeId="0" xr:uid="{00000000-0006-0000-0300-000011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C11" authorId="0" shapeId="0" xr:uid="{00000000-0006-0000-0300-000012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D11" authorId="0" shapeId="0" xr:uid="{00000000-0006-0000-0300-000013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E11" authorId="0" shapeId="0" xr:uid="{00000000-0006-0000-0300-000014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B12" authorId="0" shapeId="0" xr:uid="{00000000-0006-0000-0300-000015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C12" authorId="0" shapeId="0" xr:uid="{00000000-0006-0000-0300-000016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D12" authorId="0" shapeId="0" xr:uid="{00000000-0006-0000-0300-000017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E12" authorId="0" shapeId="0" xr:uid="{00000000-0006-0000-0300-000018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B13" authorId="0" shapeId="0" xr:uid="{00000000-0006-0000-0300-000019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C13" authorId="0" shapeId="0" xr:uid="{00000000-0006-0000-0300-00001A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D13" authorId="0" shapeId="0" xr:uid="{00000000-0006-0000-0300-00001B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E13" authorId="0" shapeId="0" xr:uid="{00000000-0006-0000-0300-00001C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B14" authorId="0" shapeId="0" xr:uid="{00000000-0006-0000-0300-00001D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C14" authorId="0" shapeId="0" xr:uid="{00000000-0006-0000-0300-00001E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D14" authorId="0" shapeId="0" xr:uid="{00000000-0006-0000-0300-00001F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  <comment ref="E14" authorId="0" shapeId="0" xr:uid="{00000000-0006-0000-0300-000020000000}">
      <text>
        <r>
          <rPr>
            <sz val="11"/>
            <color theme="1"/>
            <rFont val="宋体"/>
            <family val="2"/>
            <scheme val="minor"/>
          </rPr>
          <t>可编辑人力假设；人年已包含建设期内的自主开发与服务工作。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8" authorId="0" shapeId="0" xr:uid="{00000000-0006-0000-0400-000001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8" authorId="0" shapeId="0" xr:uid="{00000000-0006-0000-0400-000002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8" authorId="0" shapeId="0" xr:uid="{00000000-0006-0000-0400-000003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9" authorId="0" shapeId="0" xr:uid="{00000000-0006-0000-0400-000004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9" authorId="0" shapeId="0" xr:uid="{00000000-0006-0000-0400-000005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9" authorId="0" shapeId="0" xr:uid="{00000000-0006-0000-0400-000006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0" authorId="0" shapeId="0" xr:uid="{00000000-0006-0000-0400-000007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0" authorId="0" shapeId="0" xr:uid="{00000000-0006-0000-0400-000008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0" authorId="0" shapeId="0" xr:uid="{00000000-0006-0000-0400-000009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1" authorId="0" shapeId="0" xr:uid="{00000000-0006-0000-0400-00000A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1" authorId="0" shapeId="0" xr:uid="{00000000-0006-0000-0400-00000B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1" authorId="0" shapeId="0" xr:uid="{00000000-0006-0000-0400-00000C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2" authorId="0" shapeId="0" xr:uid="{00000000-0006-0000-0400-00000D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2" authorId="0" shapeId="0" xr:uid="{00000000-0006-0000-0400-00000E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2" authorId="0" shapeId="0" xr:uid="{00000000-0006-0000-0400-00000F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4" authorId="0" shapeId="0" xr:uid="{00000000-0006-0000-0400-000010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5" authorId="0" shapeId="0" xr:uid="{00000000-0006-0000-0400-000011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6" authorId="0" shapeId="0" xr:uid="{00000000-0006-0000-0400-000012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6" authorId="0" shapeId="0" xr:uid="{00000000-0006-0000-0400-000013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6" authorId="0" shapeId="0" xr:uid="{00000000-0006-0000-0400-000014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7" authorId="0" shapeId="0" xr:uid="{00000000-0006-0000-0400-000015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7" authorId="0" shapeId="0" xr:uid="{00000000-0006-0000-0400-000016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7" authorId="0" shapeId="0" xr:uid="{00000000-0006-0000-0400-000017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8" authorId="0" shapeId="0" xr:uid="{00000000-0006-0000-0400-000018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8" authorId="0" shapeId="0" xr:uid="{00000000-0006-0000-0400-000019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8" authorId="0" shapeId="0" xr:uid="{00000000-0006-0000-0400-00001A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9" authorId="0" shapeId="0" xr:uid="{00000000-0006-0000-0400-00001B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9" authorId="0" shapeId="0" xr:uid="{00000000-0006-0000-0400-00001C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9" authorId="0" shapeId="0" xr:uid="{00000000-0006-0000-0400-00001D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0" authorId="0" shapeId="0" xr:uid="{00000000-0006-0000-0400-00001E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1" authorId="0" shapeId="0" xr:uid="{00000000-0006-0000-0400-00001F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2" authorId="0" shapeId="0" xr:uid="{00000000-0006-0000-0400-000020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3" authorId="0" shapeId="0" xr:uid="{00000000-0006-0000-0400-000021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4" authorId="0" shapeId="0" xr:uid="{00000000-0006-0000-0400-000022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5" authorId="0" shapeId="0" xr:uid="{00000000-0006-0000-0400-000023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6" authorId="0" shapeId="0" xr:uid="{00000000-0006-0000-0400-000024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7" authorId="0" shapeId="0" xr:uid="{00000000-0006-0000-0400-000025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8" authorId="0" shapeId="0" xr:uid="{00000000-0006-0000-0500-000001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8" authorId="0" shapeId="0" xr:uid="{00000000-0006-0000-0500-000002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8" authorId="0" shapeId="0" xr:uid="{00000000-0006-0000-0500-000003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9" authorId="0" shapeId="0" xr:uid="{00000000-0006-0000-0500-000004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9" authorId="0" shapeId="0" xr:uid="{00000000-0006-0000-0500-000005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9" authorId="0" shapeId="0" xr:uid="{00000000-0006-0000-0500-000006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0" authorId="0" shapeId="0" xr:uid="{00000000-0006-0000-0500-000007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0" authorId="0" shapeId="0" xr:uid="{00000000-0006-0000-0500-000008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0" authorId="0" shapeId="0" xr:uid="{00000000-0006-0000-0500-000009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1" authorId="0" shapeId="0" xr:uid="{00000000-0006-0000-0500-00000A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1" authorId="0" shapeId="0" xr:uid="{00000000-0006-0000-0500-00000B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1" authorId="0" shapeId="0" xr:uid="{00000000-0006-0000-0500-00000C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2" authorId="0" shapeId="0" xr:uid="{00000000-0006-0000-0500-00000D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2" authorId="0" shapeId="0" xr:uid="{00000000-0006-0000-0500-00000E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2" authorId="0" shapeId="0" xr:uid="{00000000-0006-0000-0500-00000F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3" authorId="0" shapeId="0" xr:uid="{00000000-0006-0000-0500-000010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3" authorId="0" shapeId="0" xr:uid="{00000000-0006-0000-0500-000011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3" authorId="0" shapeId="0" xr:uid="{00000000-0006-0000-0500-000012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6" authorId="0" shapeId="0" xr:uid="{00000000-0006-0000-0500-000013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7" authorId="0" shapeId="0" xr:uid="{00000000-0006-0000-0500-000014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8" authorId="0" shapeId="0" xr:uid="{00000000-0006-0000-0500-000015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8" authorId="0" shapeId="0" xr:uid="{00000000-0006-0000-0500-000016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8" authorId="0" shapeId="0" xr:uid="{00000000-0006-0000-0500-000017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9" authorId="0" shapeId="0" xr:uid="{00000000-0006-0000-0500-000018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9" authorId="0" shapeId="0" xr:uid="{00000000-0006-0000-0500-000019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9" authorId="0" shapeId="0" xr:uid="{00000000-0006-0000-0500-00001A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20" authorId="0" shapeId="0" xr:uid="{00000000-0006-0000-0500-00001B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20" authorId="0" shapeId="0" xr:uid="{00000000-0006-0000-0500-00001C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0" authorId="0" shapeId="0" xr:uid="{00000000-0006-0000-0500-00001D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21" authorId="0" shapeId="0" xr:uid="{00000000-0006-0000-0500-00001E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21" authorId="0" shapeId="0" xr:uid="{00000000-0006-0000-0500-00001F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1" authorId="0" shapeId="0" xr:uid="{00000000-0006-0000-0500-000020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2" authorId="0" shapeId="0" xr:uid="{00000000-0006-0000-0500-000021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3" authorId="0" shapeId="0" xr:uid="{00000000-0006-0000-0500-000022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4" authorId="0" shapeId="0" xr:uid="{00000000-0006-0000-0500-000023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5" authorId="0" shapeId="0" xr:uid="{00000000-0006-0000-0500-000024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6" authorId="0" shapeId="0" xr:uid="{00000000-0006-0000-0500-000025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7" authorId="0" shapeId="0" xr:uid="{00000000-0006-0000-0500-000026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8" authorId="0" shapeId="0" xr:uid="{00000000-0006-0000-0500-000027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9" authorId="0" shapeId="0" xr:uid="{00000000-0006-0000-0500-000028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8" authorId="0" shapeId="0" xr:uid="{00000000-0006-0000-0600-000001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8" authorId="0" shapeId="0" xr:uid="{00000000-0006-0000-0600-000002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8" authorId="0" shapeId="0" xr:uid="{00000000-0006-0000-0600-000003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9" authorId="0" shapeId="0" xr:uid="{00000000-0006-0000-0600-000004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9" authorId="0" shapeId="0" xr:uid="{00000000-0006-0000-0600-000005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9" authorId="0" shapeId="0" xr:uid="{00000000-0006-0000-0600-000006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0" authorId="0" shapeId="0" xr:uid="{00000000-0006-0000-0600-000007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0" authorId="0" shapeId="0" xr:uid="{00000000-0006-0000-0600-000008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0" authorId="0" shapeId="0" xr:uid="{00000000-0006-0000-0600-000009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1" authorId="0" shapeId="0" xr:uid="{00000000-0006-0000-0600-00000A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1" authorId="0" shapeId="0" xr:uid="{00000000-0006-0000-0600-00000B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1" authorId="0" shapeId="0" xr:uid="{00000000-0006-0000-0600-00000C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2" authorId="0" shapeId="0" xr:uid="{00000000-0006-0000-0600-00000D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2" authorId="0" shapeId="0" xr:uid="{00000000-0006-0000-0600-00000E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2" authorId="0" shapeId="0" xr:uid="{00000000-0006-0000-0600-00000F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3" authorId="0" shapeId="0" xr:uid="{00000000-0006-0000-0600-000010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3" authorId="0" shapeId="0" xr:uid="{00000000-0006-0000-0600-000011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3" authorId="0" shapeId="0" xr:uid="{00000000-0006-0000-0600-000012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4" authorId="0" shapeId="0" xr:uid="{00000000-0006-0000-0600-000013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14" authorId="0" shapeId="0" xr:uid="{00000000-0006-0000-0600-000014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14" authorId="0" shapeId="0" xr:uid="{00000000-0006-0000-0600-000015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7" authorId="0" shapeId="0" xr:uid="{00000000-0006-0000-0600-000016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8" authorId="0" shapeId="0" xr:uid="{00000000-0006-0000-0600-000017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19" authorId="0" shapeId="0" xr:uid="{00000000-0006-0000-0600-000018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20" authorId="0" shapeId="0" xr:uid="{00000000-0006-0000-0600-000019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20" authorId="0" shapeId="0" xr:uid="{00000000-0006-0000-0600-00001A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0" authorId="0" shapeId="0" xr:uid="{00000000-0006-0000-0600-00001B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21" authorId="0" shapeId="0" xr:uid="{00000000-0006-0000-0600-00001C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21" authorId="0" shapeId="0" xr:uid="{00000000-0006-0000-0600-00001D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1" authorId="0" shapeId="0" xr:uid="{00000000-0006-0000-0600-00001E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22" authorId="0" shapeId="0" xr:uid="{00000000-0006-0000-0600-00001F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22" authorId="0" shapeId="0" xr:uid="{00000000-0006-0000-0600-000020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2" authorId="0" shapeId="0" xr:uid="{00000000-0006-0000-0600-000021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23" authorId="0" shapeId="0" xr:uid="{00000000-0006-0000-0600-000022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23" authorId="0" shapeId="0" xr:uid="{00000000-0006-0000-0600-000023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3" authorId="0" shapeId="0" xr:uid="{00000000-0006-0000-0600-000024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E24" authorId="0" shapeId="0" xr:uid="{00000000-0006-0000-0600-000025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F24" authorId="0" shapeId="0" xr:uid="{00000000-0006-0000-0600-000026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4" authorId="0" shapeId="0" xr:uid="{00000000-0006-0000-0600-000027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5" authorId="0" shapeId="0" xr:uid="{00000000-0006-0000-0600-000028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6" authorId="0" shapeId="0" xr:uid="{00000000-0006-0000-0600-000029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7" authorId="0" shapeId="0" xr:uid="{00000000-0006-0000-0600-00002A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8" authorId="0" shapeId="0" xr:uid="{00000000-0006-0000-0600-00002B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29" authorId="0" shapeId="0" xr:uid="{00000000-0006-0000-0600-00002C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30" authorId="0" shapeId="0" xr:uid="{00000000-0006-0000-0600-00002D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31" authorId="0" shapeId="0" xr:uid="{00000000-0006-0000-0600-00002E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  <comment ref="G32" authorId="0" shapeId="0" xr:uid="{00000000-0006-0000-0600-00002F000000}">
      <text>
        <r>
          <rPr>
            <sz val="11"/>
            <color theme="1"/>
            <rFont val="宋体"/>
            <family val="2"/>
            <scheme val="minor"/>
          </rPr>
          <t>可编辑数量/单价/年限；硬件和软件为含税采购估算，算力为租赁用量。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900-000001000000}">
      <text>
        <r>
          <rPr>
            <sz val="11"/>
            <color theme="1"/>
            <rFont val="宋体"/>
            <family val="2"/>
            <scheme val="minor"/>
          </rPr>
          <t>可编辑分年拨款比例；三年应合计100%。</t>
        </r>
      </text>
    </comment>
    <comment ref="D6" authorId="0" shapeId="0" xr:uid="{00000000-0006-0000-0900-000002000000}">
      <text>
        <r>
          <rPr>
            <sz val="11"/>
            <color theme="1"/>
            <rFont val="宋体"/>
            <family val="2"/>
            <scheme val="minor"/>
          </rPr>
          <t>可编辑分年拨款比例；三年应合计100%。</t>
        </r>
      </text>
    </comment>
    <comment ref="F6" authorId="0" shapeId="0" xr:uid="{00000000-0006-0000-0900-000003000000}">
      <text>
        <r>
          <rPr>
            <sz val="11"/>
            <color theme="1"/>
            <rFont val="宋体"/>
            <family val="2"/>
            <scheme val="minor"/>
          </rPr>
          <t>可编辑分年拨款比例；三年应合计100%。</t>
        </r>
      </text>
    </comment>
    <comment ref="B7" authorId="0" shapeId="0" xr:uid="{00000000-0006-0000-0900-000004000000}">
      <text>
        <r>
          <rPr>
            <sz val="11"/>
            <color theme="1"/>
            <rFont val="宋体"/>
            <family val="2"/>
            <scheme val="minor"/>
          </rPr>
          <t>可编辑分年拨款比例；三年应合计100%。</t>
        </r>
      </text>
    </comment>
    <comment ref="D7" authorId="0" shapeId="0" xr:uid="{00000000-0006-0000-0900-000005000000}">
      <text>
        <r>
          <rPr>
            <sz val="11"/>
            <color theme="1"/>
            <rFont val="宋体"/>
            <family val="2"/>
            <scheme val="minor"/>
          </rPr>
          <t>可编辑分年拨款比例；三年应合计100%。</t>
        </r>
      </text>
    </comment>
    <comment ref="F7" authorId="0" shapeId="0" xr:uid="{00000000-0006-0000-0900-000006000000}">
      <text>
        <r>
          <rPr>
            <sz val="11"/>
            <color theme="1"/>
            <rFont val="宋体"/>
            <family val="2"/>
            <scheme val="minor"/>
          </rPr>
          <t>可编辑分年拨款比例；三年应合计100%。</t>
        </r>
      </text>
    </comment>
    <comment ref="B8" authorId="0" shapeId="0" xr:uid="{00000000-0006-0000-0900-000007000000}">
      <text>
        <r>
          <rPr>
            <sz val="11"/>
            <color theme="1"/>
            <rFont val="宋体"/>
            <family val="2"/>
            <scheme val="minor"/>
          </rPr>
          <t>可编辑分年拨款比例；三年应合计100%。</t>
        </r>
      </text>
    </comment>
    <comment ref="D8" authorId="0" shapeId="0" xr:uid="{00000000-0006-0000-0900-000008000000}">
      <text>
        <r>
          <rPr>
            <sz val="11"/>
            <color theme="1"/>
            <rFont val="宋体"/>
            <family val="2"/>
            <scheme val="minor"/>
          </rPr>
          <t>可编辑分年拨款比例；三年应合计100%。</t>
        </r>
      </text>
    </comment>
    <comment ref="F8" authorId="0" shapeId="0" xr:uid="{00000000-0006-0000-0900-000009000000}">
      <text>
        <r>
          <rPr>
            <sz val="11"/>
            <color theme="1"/>
            <rFont val="宋体"/>
            <family val="2"/>
            <scheme val="minor"/>
          </rPr>
          <t>可编辑分年拨款比例；三年应合计100%。</t>
        </r>
      </text>
    </comment>
  </commentList>
</comments>
</file>

<file path=xl/sharedStrings.xml><?xml version="1.0" encoding="utf-8"?>
<sst xmlns="http://schemas.openxmlformats.org/spreadsheetml/2006/main" count="747" uniqueCount="400">
  <si>
    <t>一台同步辐射加速器 + 十条光束线智能监控与调优预算</t>
  </si>
  <si>
    <t>口径</t>
  </si>
  <si>
    <t>3年建设期，2026年名义含税人民币；复用既有EPICS/PSS/EPS/PLC和机房；金额单位：万元。</t>
  </si>
  <si>
    <t>不重复列支</t>
  </si>
  <si>
    <t>硬件仅为采购；算力为租赁；外部软件仅为第三方许可；自主开发、系统搭建、集成、调试和建设期运维全部归入人力。</t>
  </si>
  <si>
    <t>决策提示</t>
  </si>
  <si>
    <t>L1适合先立项；L2需十线逐条冻结动作/诊断清单后批复；L3建议分门禁拨款并预留后续2年运行成熟期。</t>
  </si>
  <si>
    <t>版本</t>
  </si>
  <si>
    <t>定位摘要</t>
  </si>
  <si>
    <t>硬件采购</t>
  </si>
  <si>
    <t>算力租赁</t>
  </si>
  <si>
    <t>外部软件</t>
  </si>
  <si>
    <t>人力成本</t>
  </si>
  <si>
    <t>不可预见费</t>
  </si>
  <si>
    <t>基准总额</t>
  </si>
  <si>
    <t>折合亿元</t>
  </si>
  <si>
    <t>低位情景</t>
  </si>
  <si>
    <t>高位情景</t>
  </si>
  <si>
    <t>建成后年运行费（估算）</t>
  </si>
  <si>
    <t>L1</t>
  </si>
  <si>
    <t>全设施状态底座；十线给方法，1–2线实机辅助调优</t>
  </si>
  <si>
    <t>L2</t>
  </si>
  <si>
    <t>加速器自动监测；十线多参数、多目标闭环自主调优</t>
  </si>
  <si>
    <t>L3</t>
  </si>
  <si>
    <t>预测诊断；十线与加速器同步调控，接近限定边界全自主</t>
  </si>
  <si>
    <t>结论</t>
  </si>
  <si>
    <t>建议把L1作为可独立验收的一期；L2、L3按G1 Shadow→G2监督执行→G3模块闭环→G4多线运行→G5限定无人值守分段拨款。</t>
  </si>
  <si>
    <t>预算模型假设与编制口径</t>
  </si>
  <si>
    <t>编辑说明</t>
  </si>
  <si>
    <t>黄色底、蓝色字体为可编辑输入；黑色为公式。金额单位均为万元人民币。</t>
  </si>
  <si>
    <t>模型边界</t>
  </si>
  <si>
    <t>3年建设期、2026年名义含税估算；复用现有EPICS/PSS/EPS/PLC及既有机房，只计增量建设。</t>
  </si>
  <si>
    <t>假设ID</t>
  </si>
  <si>
    <t>参数</t>
  </si>
  <si>
    <t>基准值</t>
  </si>
  <si>
    <t>低位系数</t>
  </si>
  <si>
    <t>高位系数</t>
  </si>
  <si>
    <t>单位</t>
  </si>
  <si>
    <t>说明/来源</t>
  </si>
  <si>
    <t>A-001</t>
  </si>
  <si>
    <t>建设期</t>
  </si>
  <si>
    <t>年</t>
  </si>
  <si>
    <t>统一按3年比较；L3成熟运行通常仍需后续2年。</t>
  </si>
  <si>
    <t>A-002</t>
  </si>
  <si>
    <t>预算汇率</t>
  </si>
  <si>
    <t>CNY/USD</t>
  </si>
  <si>
    <t>SAFE 2026-08-18中间价6.7905；预算采用7.00留出结算与波动余量。</t>
  </si>
  <si>
    <t>A-003</t>
  </si>
  <si>
    <t>价格口径</t>
  </si>
  <si>
    <t>含税名义价</t>
  </si>
  <si>
    <t>最终以国内可采购云、专线和设备供应商含税报价替换。</t>
  </si>
  <si>
    <t>A-004</t>
  </si>
  <si>
    <t>既有资产复用</t>
  </si>
  <si>
    <t>是</t>
  </si>
  <si>
    <t>不重复购买现有控制系统、安全联锁、设备PLC和基础机房。</t>
  </si>
  <si>
    <t>A-005</t>
  </si>
  <si>
    <t>L1不可预见费率</t>
  </si>
  <si>
    <t>%</t>
  </si>
  <si>
    <t>覆盖接口不一致、现场改造和供应商报价波动。</t>
  </si>
  <si>
    <t>A-006</t>
  </si>
  <si>
    <t>H100等效租赁单价</t>
  </si>
  <si>
    <t>元/GPU·h</t>
  </si>
  <si>
    <t>基于公开长期/预留价格约33元/GPU·h，加税费、区域和服务形态余量。</t>
  </si>
  <si>
    <t>A-007</t>
  </si>
  <si>
    <t>小模型GPU租赁单价</t>
  </si>
  <si>
    <t>A100/L4/L40S等效混合口径；需以国内资源池报价替换。</t>
  </si>
  <si>
    <t>A-008</t>
  </si>
  <si>
    <t>人年综合成本</t>
  </si>
  <si>
    <t>见人力模型</t>
  </si>
  <si>
    <t>团队制核算：实验室老师/工程师40万元/年，算法总开发50万元/年，学生0.4万元/月；来源为用户本轮提供。</t>
  </si>
  <si>
    <t>A-009</t>
  </si>
  <si>
    <t>安全架构</t>
  </si>
  <si>
    <t>分层控制</t>
  </si>
  <si>
    <t>Actor LLM只提出方案；Verifier不是安全联锁；动作必须经确定性Plan和PSS/EPS/PLC。</t>
  </si>
  <si>
    <t>A-010</t>
  </si>
  <si>
    <t>硬件敏感性</t>
  </si>
  <si>
    <t>倍</t>
  </si>
  <si>
    <t>低位=高复用；高位=新增诊断、冗余和控制网改造较多。</t>
  </si>
  <si>
    <t>A-011</t>
  </si>
  <si>
    <t>算力敏感性</t>
  </si>
  <si>
    <t>受国内GPU供应、预留折扣、仿真CPU量和专线影响。</t>
  </si>
  <si>
    <t>A-012</t>
  </si>
  <si>
    <t>外部软件敏感性</t>
  </si>
  <si>
    <t>开源优先可降低；商业多物理、数据库和企业AI运行时会提高。</t>
  </si>
  <si>
    <t>A-013</t>
  </si>
  <si>
    <t>人力敏感性</t>
  </si>
  <si>
    <t>受十条线站异构程度、驻场年限、验证强度和既有团队可用性影响。</t>
  </si>
  <si>
    <t>A-014</t>
  </si>
  <si>
    <t>L2不可预见费率</t>
  </si>
  <si>
    <t>十线闭环存在集成和验收不确定性。</t>
  </si>
  <si>
    <t>A-015</t>
  </si>
  <si>
    <t>L3不可预见费率</t>
  </si>
  <si>
    <t>加速器协同调控与设施级自主运行风险更高。</t>
  </si>
  <si>
    <t>A-016</t>
  </si>
  <si>
    <t>实验室老师/开发工程师年成本</t>
  </si>
  <si>
    <t>万元/人年</t>
  </si>
  <si>
    <t>用户给定：实验室老师和代码/算法工程师均按40万元/年。</t>
  </si>
  <si>
    <t>A-017</t>
  </si>
  <si>
    <t>算法总开发师年成本</t>
  </si>
  <si>
    <t>用户给定：算法总开发师按50万元/年。</t>
  </si>
  <si>
    <t>A-018</t>
  </si>
  <si>
    <t>学生月成本</t>
  </si>
  <si>
    <t>万元/人月</t>
  </si>
  <si>
    <t>用户给定：学生4000元/月，即0.4万元/月。</t>
  </si>
  <si>
    <t>A-019</t>
  </si>
  <si>
    <t>学生年成本</t>
  </si>
  <si>
    <t>由学生月成本乘12个月自动计算。</t>
  </si>
  <si>
    <t>算力租赁模型（不含运维人力）</t>
  </si>
  <si>
    <t>价格锚点</t>
  </si>
  <si>
    <t>指标</t>
  </si>
  <si>
    <t>低/基准</t>
  </si>
  <si>
    <t>高</t>
  </si>
  <si>
    <t>来源/说明</t>
  </si>
  <si>
    <t>AWS H100容量块低/高</t>
  </si>
  <si>
    <t>USD/GPU·h</t>
  </si>
  <si>
    <t>S-001；动态容量价</t>
  </si>
  <si>
    <t>Google 8×H100按需</t>
  </si>
  <si>
    <t>USD/实例·h</t>
  </si>
  <si>
    <t>S-002；约11.06 USD/GPU·h</t>
  </si>
  <si>
    <t>Google 8×H100三年承诺</t>
  </si>
  <si>
    <t>S-002；约4.86 USD/GPU·h</t>
  </si>
  <si>
    <t>SAFE中间价</t>
  </si>
  <si>
    <t>S-003；2026-08-18</t>
  </si>
  <si>
    <t>预算H100单价</t>
  </si>
  <si>
    <t>万元/GPU·h</t>
  </si>
  <si>
    <t>预算小模型GPU单价</t>
  </si>
  <si>
    <t>版本算力用量</t>
  </si>
  <si>
    <t>小模型GPU·h/年</t>
  </si>
  <si>
    <t>H100等效GPU·h/年</t>
  </si>
  <si>
    <t>CPU/HPC（万元/年）</t>
  </si>
  <si>
    <t>存储/专线（万元/年）</t>
  </si>
  <si>
    <t>峰值/容灾（万元/年）</t>
  </si>
  <si>
    <t>年度合计（万元）</t>
  </si>
  <si>
    <t>建设期（年）</t>
  </si>
  <si>
    <t>三年合计（万元）</t>
  </si>
  <si>
    <t>说明</t>
  </si>
  <si>
    <t>小模型训练/推理；仿真以CPU为主。</t>
  </si>
  <si>
    <t>8卡大模型阶段性适配，4卡等效在线评估。</t>
  </si>
  <si>
    <t>双8卡适配、持续评估、全设施物理仿真和容灾峰值。</t>
  </si>
  <si>
    <t>人力成本模型（实验室老师/工程师带学生的团队制口径）</t>
  </si>
  <si>
    <t>不重复列支规则</t>
  </si>
  <si>
    <t>每条光束线由1名实验室老师、1名代码工程师带4–6名学生；全设施共享1名算法总开发师、1–2名算法工程师和2–3名学生。学生按0.4万元/月计。自主开发、集成、调试和建设期运维不再另列。</t>
  </si>
  <si>
    <t>角色</t>
  </si>
  <si>
    <t>综合成本（万元/人年）</t>
  </si>
  <si>
    <t>L1人年</t>
  </si>
  <si>
    <t>L2人年</t>
  </si>
  <si>
    <t>L3人年</t>
  </si>
  <si>
    <t>L1成本</t>
  </si>
  <si>
    <t>L2成本</t>
  </si>
  <si>
    <t>L3成本</t>
  </si>
  <si>
    <t>职责边界</t>
  </si>
  <si>
    <t>光束线实验室老师</t>
  </si>
  <si>
    <t>每线物理任务、数据定义、现场验证和验收</t>
  </si>
  <si>
    <t>光束线代码开发工程师</t>
  </si>
  <si>
    <t>每线数字孪生、数据接入、控制适配和联调</t>
  </si>
  <si>
    <t>光束线学生</t>
  </si>
  <si>
    <t>数据整理、建模、测试、实验记录和工具开发</t>
  </si>
  <si>
    <t>加速器老师+代码工程师</t>
  </si>
  <si>
    <t>加速器在线监测、模型、接口及L3协同调控；人数按两类人员合计</t>
  </si>
  <si>
    <t>加速器学生</t>
  </si>
  <si>
    <t>状态数据、异常样本、模型测试和现场验证</t>
  </si>
  <si>
    <t>算法总开发师</t>
  </si>
  <si>
    <t>Simulator–Verifier–Actor总体算法和技术决策</t>
  </si>
  <si>
    <t>共享算法工程师</t>
  </si>
  <si>
    <t>代理模型、优化、评估、MLOps和工具链</t>
  </si>
  <si>
    <t>共享算法学生</t>
  </si>
  <si>
    <t>样本构造、训练评估、回放及实验支持</t>
  </si>
  <si>
    <t>合计</t>
  </si>
  <si>
    <t>学生人年纳入工作量统计，但按4.8万元/人年计费。</t>
  </si>
  <si>
    <t>建设期团队投入假设（黄色单元格可调整）</t>
  </si>
  <si>
    <t>光束线数量</t>
  </si>
  <si>
    <t>每线团队年</t>
  </si>
  <si>
    <t>每团队学生数</t>
  </si>
  <si>
    <t>加速器团队年</t>
  </si>
  <si>
    <t>共享算法团队年</t>
  </si>
  <si>
    <t>算法工程师数</t>
  </si>
  <si>
    <t>算法学生数</t>
  </si>
  <si>
    <t>十线底座平均1团队年/线；1–2线重点验证；学生取下限4人。</t>
  </si>
  <si>
    <t>十线闭环平均2团队年/线；学生取中值5人。</t>
  </si>
  <si>
    <t>十线高精度与协同控制平均3团队年/线；学生取上限6人。</t>
  </si>
  <si>
    <t>建成后年度运维人力假设（不计入三年建设额）</t>
  </si>
  <si>
    <t>线站团队年/年</t>
  </si>
  <si>
    <t>加速器团队年/年</t>
  </si>
  <si>
    <t>算法团队年/年</t>
  </si>
  <si>
    <t>对应建设期参数行</t>
  </si>
  <si>
    <t>年度人力成本（万元）</t>
  </si>
  <si>
    <t>L1版本预算明细</t>
  </si>
  <si>
    <t>版本定位</t>
  </si>
  <si>
    <t>数字孪生和状态感知覆盖加速器与十线；加速器在线检测；十线给出调优方法，重点在1–2线测试并提供辅助指导。</t>
  </si>
  <si>
    <t>编制规则</t>
  </si>
  <si>
    <t>硬件仅列采购；算力优先租赁；外部软件单列；系统搭建、开发、集成、调试和运维均归人力。</t>
  </si>
  <si>
    <t>序号</t>
  </si>
  <si>
    <t>费用类别</t>
  </si>
  <si>
    <t>子项</t>
  </si>
  <si>
    <t>数量</t>
  </si>
  <si>
    <t>单价（万元）</t>
  </si>
  <si>
    <t>年限</t>
  </si>
  <si>
    <t>小计（万元）</t>
  </si>
  <si>
    <t>口径/说明</t>
  </si>
  <si>
    <t>类别汇总</t>
  </si>
  <si>
    <t>金额（万元）</t>
  </si>
  <si>
    <t>边缘采集与工业网关</t>
  </si>
  <si>
    <t>套</t>
  </si>
  <si>
    <t>一台加速器、十条线和一套中心冗余</t>
  </si>
  <si>
    <t>增量诊断传感与DAQ</t>
  </si>
  <si>
    <t>设施/线站</t>
  </si>
  <si>
    <t>状态底座覆盖全设施，重点改造1–2条试点线</t>
  </si>
  <si>
    <t>时序存储、热缓存与备份</t>
  </si>
  <si>
    <t>只计采购，不含部署运维</t>
  </si>
  <si>
    <t>控制网隔离、时间同步与安全设备</t>
  </si>
  <si>
    <t>不替换既有PSS/EPS</t>
  </si>
  <si>
    <t>test IOC/HIL试验台</t>
  </si>
  <si>
    <t>对应1–2条实机验证线</t>
  </si>
  <si>
    <t>小模型GPU租赁</t>
  </si>
  <si>
    <t>GPU·h/年</t>
  </si>
  <si>
    <t>不含云运维人力</t>
  </si>
  <si>
    <t>CPU/HPC物理仿真租赁</t>
  </si>
  <si>
    <t>Simulator批量仿真</t>
  </si>
  <si>
    <t>云存储、专线与备份租赁</t>
  </si>
  <si>
    <t>基础设施租赁，不含服务人员</t>
  </si>
  <si>
    <t>商业物理/光学求解器预留</t>
  </si>
  <si>
    <t>项</t>
  </si>
  <si>
    <t>开源工具不足时采购</t>
  </si>
  <si>
    <t>商业数据库/可观测性订阅</t>
  </si>
  <si>
    <t>只列外购许可</t>
  </si>
  <si>
    <t>企业AI运行时许可预留</t>
  </si>
  <si>
    <t>生产部署可选；研究开发可用开源</t>
  </si>
  <si>
    <t>安全扫描/备份软件许可</t>
  </si>
  <si>
    <t>不含实施服务</t>
  </si>
  <si>
    <t>人年</t>
  </si>
  <si>
    <t>直接费用小计</t>
  </si>
  <si>
    <t>三年总预算</t>
  </si>
  <si>
    <t>L2版本预算明细</t>
  </si>
  <si>
    <t>全设施高精度感知、物理模型和AI代理；加速器自动监测；十线多参数、多目标闭环自主调优。</t>
  </si>
  <si>
    <t>双机边缘采集与工业网关</t>
  </si>
  <si>
    <t>加速器和十线关键节点冗余</t>
  </si>
  <si>
    <t>高精度诊断传感与DAQ</t>
  </si>
  <si>
    <t>支撑十线多参数闭环</t>
  </si>
  <si>
    <t>时序数据热存储集群</t>
  </si>
  <si>
    <t>节点</t>
  </si>
  <si>
    <t>原始数据仍复用设施数据平台</t>
  </si>
  <si>
    <t>多线闭环的唯一写通道</t>
  </si>
  <si>
    <t>十线HIL/故障注入适配台</t>
  </si>
  <si>
    <t>每条线具备回放和故障注入</t>
  </si>
  <si>
    <t>确定性Plan执行网关</t>
  </si>
  <si>
    <t>Actor不能直接写PV</t>
  </si>
  <si>
    <t>中型推理GPU租赁</t>
  </si>
  <si>
    <t>在线评估和代理模型</t>
  </si>
  <si>
    <t>H100等效大模型适配</t>
  </si>
  <si>
    <t>阶段性8卡适配</t>
  </si>
  <si>
    <t>十线高保真Simulator</t>
  </si>
  <si>
    <t>基础设施租赁，不含运维人力</t>
  </si>
  <si>
    <t>商业多物理/光学求解器</t>
  </si>
  <si>
    <t>十线模型适配预留</t>
  </si>
  <si>
    <t>商业时序库/可观测性订阅</t>
  </si>
  <si>
    <t>三年许可</t>
  </si>
  <si>
    <t>企业AI运行时许可</t>
  </si>
  <si>
    <t>按生产GPU规模预留</t>
  </si>
  <si>
    <t>网络安全与软件测试许可</t>
  </si>
  <si>
    <t>只列许可，不列实施服务</t>
  </si>
  <si>
    <t>L3版本预算明细</t>
  </si>
  <si>
    <t>全状态感知、预测诊断和自主优化；光束线与加速器同步调控，形成限定边界内接近完全自主运行的设施能力。</t>
  </si>
  <si>
    <t>双机实时边缘计算与采集节点</t>
  </si>
  <si>
    <t>设施级冗余与边缘特征提取</t>
  </si>
  <si>
    <t>全状态高精度诊断传感与DAQ</t>
  </si>
  <si>
    <t>含预测诊断所需增量测点</t>
  </si>
  <si>
    <t>高可用时序存储与热缓存</t>
  </si>
  <si>
    <t>双活/容灾，不重复建设原始数据中心</t>
  </si>
  <si>
    <t>控制网隔离、时间同步、网络与灾备</t>
  </si>
  <si>
    <t>设施级安全域和审计</t>
  </si>
  <si>
    <t>全设施HIL/故障注入试验台</t>
  </si>
  <si>
    <t>加速器与十线联合回放</t>
  </si>
  <si>
    <t>加速器同步调控安全网关</t>
  </si>
  <si>
    <t>不改写PSS/EPS职责</t>
  </si>
  <si>
    <t>十线确定性执行与回退网关</t>
  </si>
  <si>
    <t>白名单动作、签名Plan和安全停止</t>
  </si>
  <si>
    <t>代理模型、在线评估和冗余推理</t>
  </si>
  <si>
    <t>双8卡阶段性适配</t>
  </si>
  <si>
    <t>加速器—十线联合Simulator</t>
  </si>
  <si>
    <t>峰值与容灾算力预留</t>
  </si>
  <si>
    <t>上线前验证、故障演练和突发适配</t>
  </si>
  <si>
    <t>加速器—光束线联合模型</t>
  </si>
  <si>
    <t>企业数据治理/时序库订阅</t>
  </si>
  <si>
    <t>生产级安全更新和支持预留</t>
  </si>
  <si>
    <t>网络安全/验证软件许可</t>
  </si>
  <si>
    <t>标准化建模和测试工具许可</t>
  </si>
  <si>
    <t>外购工具预留</t>
  </si>
  <si>
    <t>L1–L3能力边界与Actor闭环定位</t>
  </si>
  <si>
    <t>维度</t>
  </si>
  <si>
    <t>预算边界/验收提醒</t>
  </si>
  <si>
    <t>覆盖范围</t>
  </si>
  <si>
    <t>一台加速器+十线状态底座；1–2线实机测试</t>
  </si>
  <si>
    <t>一台加速器自动监测；十线闭环调优</t>
  </si>
  <si>
    <t>一台加速器+十线联合状态、诊断和调控</t>
  </si>
  <si>
    <t>不是十套孤立系统</t>
  </si>
  <si>
    <t>Simulator</t>
  </si>
  <si>
    <t>中等精度；历史Flux残差校准</t>
  </si>
  <si>
    <t>十线高精度模型+AI代理</t>
  </si>
  <si>
    <t>加速器—十线联合多速率孪生</t>
  </si>
  <si>
    <t>每条线必须有独立校准和失效域</t>
  </si>
  <si>
    <t>Verifier</t>
  </si>
  <si>
    <t>评分和硬约束检查；辅助决策</t>
  </si>
  <si>
    <t>多目标评分、OOD和回退；闭环门控</t>
  </si>
  <si>
    <t>预测风险、跨子系统约束和容灾验证</t>
  </si>
  <si>
    <t>Verifier不能替代PSS/EPS/PLC</t>
  </si>
  <si>
    <t>Actor LLM</t>
  </si>
  <si>
    <t>小模型；直接建议或少轮验证</t>
  </si>
  <si>
    <t>大模型适配；十线多轮工具调用</t>
  </si>
  <si>
    <t>大模型+代理模型；设施级任务编排</t>
  </si>
  <si>
    <t>无任意PV、脚本或联锁修改权</t>
  </si>
  <si>
    <t>加速器能力</t>
  </si>
  <si>
    <t>在线检测、报警和人工处置建议</t>
  </si>
  <si>
    <t>自动监测、预测预警；不自动调源</t>
  </si>
  <si>
    <t>经白名单Plan同步调控光源与线站</t>
  </si>
  <si>
    <t>快反馈仍由FPGA/PID/PLC承担</t>
  </si>
  <si>
    <t>光束线能力</t>
  </si>
  <si>
    <t>十线给方法；1–2线辅助调优验证</t>
  </si>
  <si>
    <t>十线多参数、多目标闭环自主调优</t>
  </si>
  <si>
    <t>十线协同调优、预测诊断与自主恢复</t>
  </si>
  <si>
    <t>必须按线冻结动作、约束和验收集</t>
  </si>
  <si>
    <t>运行成熟度</t>
  </si>
  <si>
    <t>Shadow/专家批准</t>
  </si>
  <si>
    <t>多线监督式自主运行</t>
  </si>
  <si>
    <t>限定边界内接近完全自主</t>
  </si>
  <si>
    <t>L3不等于取消值班和科研签字</t>
  </si>
  <si>
    <t>主验收量</t>
  </si>
  <si>
    <t>覆盖率、检测率、建议接受率、试点效果</t>
  </si>
  <si>
    <t>十线成功率、调优时间、人工接管率、零越权</t>
  </si>
  <si>
    <t>设施可用率、预测提前量、联合恢复率、灾备</t>
  </si>
  <si>
    <t>高危事件按零容忍门禁</t>
  </si>
  <si>
    <t>证据来源与使用限制（检索截止2026-08-19）</t>
  </si>
  <si>
    <t>来源ID</t>
  </si>
  <si>
    <t>来源</t>
  </si>
  <si>
    <t>发布者</t>
  </si>
  <si>
    <t>日期</t>
  </si>
  <si>
    <t>关键值/用途</t>
  </si>
  <si>
    <t>URL/本地路径</t>
  </si>
  <si>
    <t>限制</t>
  </si>
  <si>
    <t>S-001</t>
  </si>
  <si>
    <t>EC2 Capacity Blocks for ML Pricing</t>
  </si>
  <si>
    <t>AWS</t>
  </si>
  <si>
    <t>2026-07-07有效价</t>
  </si>
  <si>
    <t>H100容量块约3.933–4.72 USD/GPU·h</t>
  </si>
  <si>
    <t>https://aws.amazon.com/ec2/capacityblocks/pricing/</t>
  </si>
  <si>
    <t>动态价格；非中国含税价</t>
  </si>
  <si>
    <t>S-002</t>
  </si>
  <si>
    <t>Accelerator-optimized VM Pricing</t>
  </si>
  <si>
    <t>Google Cloud</t>
  </si>
  <si>
    <t>检索2026-08-19</t>
  </si>
  <si>
    <t>8×H100按需约88.49 USD/h；三年约38.86 USD/h</t>
  </si>
  <si>
    <t>https://cloud.google.com/products/compute/pricing/accelerator-optimized</t>
  </si>
  <si>
    <t>不含磁盘、网络和税</t>
  </si>
  <si>
    <t>S-003</t>
  </si>
  <si>
    <t>人民币汇率中间价</t>
  </si>
  <si>
    <t>SAFE/中国外汇交易中心</t>
  </si>
  <si>
    <t>2026-08-18</t>
  </si>
  <si>
    <t>6.7905 CNY/USD；预算用7.00</t>
  </si>
  <si>
    <t>https://www.safe.gov.cn/AppStructured/hlw/RMBQuery.do</t>
  </si>
  <si>
    <t>中间价不是结算价</t>
  </si>
  <si>
    <t>S-004</t>
  </si>
  <si>
    <t>NVIDIA NIM FAQ</t>
  </si>
  <si>
    <t>NVIDIA</t>
  </si>
  <si>
    <t>生产许可起价4500 USD/GPU·年</t>
  </si>
  <si>
    <t>https://docs.api.nvidia.com/nim/docs/product</t>
  </si>
  <si>
    <t>起价；最终需询价</t>
  </si>
  <si>
    <t>S-005</t>
  </si>
  <si>
    <t>EPICS Open License</t>
  </si>
  <si>
    <t>EPICS Collaboration</t>
  </si>
  <si>
    <t>控制栈可开源复用，降低许可费</t>
  </si>
  <si>
    <t>https://epics.anl.gov/license/open.php</t>
  </si>
  <si>
    <t>模块许可仍需审计</t>
  </si>
  <si>
    <t>S-006</t>
  </si>
  <si>
    <t>Bluesky Repository</t>
  </si>
  <si>
    <t>Bluesky Project</t>
  </si>
  <si>
    <t>BSD-3-Clause；实验编排、元数据和中断恢复</t>
  </si>
  <si>
    <t>https://github.com/bluesky/bluesky</t>
  </si>
  <si>
    <t>开源不等于免集成人力</t>
  </si>
  <si>
    <t>S-007</t>
  </si>
  <si>
    <t>纳米CT智能化实施路线</t>
  </si>
  <si>
    <t>本地项目文档</t>
  </si>
  <si>
    <t>2026-07</t>
  </si>
  <si>
    <t>安全分层、HIL、门禁和工作包</t>
  </si>
  <si>
    <t>../上海光源纳米CT全流程智能化需求评估与实施路线_2026-07.md</t>
  </si>
  <si>
    <t>面向纳米CT，十线需逐条盘点</t>
  </si>
  <si>
    <t>S-008</t>
  </si>
  <si>
    <t>本次预算需求及团队制用人成本</t>
  </si>
  <si>
    <t>用户</t>
  </si>
  <si>
    <t>2026-08-19</t>
  </si>
  <si>
    <t>一台加速器+十线；L1/L2/L3能力；老师/工程师40万元/年、算法总开发50万元/年、学生0.4万元/月</t>
  </si>
  <si>
    <t>用户需求</t>
  </si>
  <si>
    <t>版本团队年为模型假设，可在“人力模型”黄色单元格调整</t>
  </si>
  <si>
    <t>三年建设资金安排建议</t>
  </si>
  <si>
    <t>第1年比例</t>
  </si>
  <si>
    <t>第1年金额</t>
  </si>
  <si>
    <t>第2年比例</t>
  </si>
  <si>
    <t>第2年金额</t>
  </si>
  <si>
    <t>第3年比例</t>
  </si>
  <si>
    <t>第3年金额</t>
  </si>
  <si>
    <t>门禁建议</t>
  </si>
  <si>
    <t>第1年：数据与Shadow；第2年：监督执行和模块闭环；第3年：多线运行。L3的限定无人值守应在三年核心建设后继续以运行成熟项目验收。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</si>
</sst>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"/>
    <numFmt numFmtId="177" formatCode="0.0%"/>
    <numFmt numFmtId="178" formatCode="0.00\x"/>
    <numFmt numFmtId="179" formatCode="0.0"/>
  </numFmts>
  <fonts count="13" x14ac:knownFonts="1">
    <font>
      <sz val="11"/>
      <color theme="1"/>
      <name val="宋体"/>
      <family val="2"/>
      <scheme val="minor"/>
    </font>
    <font>
      <b/>
      <sz val="18"/>
      <color rgb="FFFFFFFF"/>
      <name val="Arial"/>
    </font>
    <font>
      <b/>
      <sz val="11"/>
      <color rgb="FF17365D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1"/>
      <name val="Arial"/>
    </font>
    <font>
      <b/>
      <sz val="11"/>
      <color rgb="FF000000"/>
      <name val="Arial"/>
    </font>
    <font>
      <sz val="11"/>
      <color theme="1"/>
      <name val="Arial"/>
    </font>
    <font>
      <sz val="9"/>
      <name val="宋体"/>
      <family val="3"/>
      <charset val="134"/>
      <scheme val="minor"/>
    </font>
    <font>
      <sz val="10"/>
      <color rgb="FF0000FF"/>
      <name val="Arial"/>
    </font>
    <font>
      <b/>
      <sz val="10"/>
      <color rgb="FF000000"/>
      <name val="Arial"/>
    </font>
    <font>
      <sz val="10"/>
      <color rgb="FF008000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/>
    <xf numFmtId="0" fontId="6" fillId="6" borderId="1" xfId="0" applyFont="1" applyFill="1" applyBorder="1"/>
    <xf numFmtId="0" fontId="6" fillId="3" borderId="1" xfId="0" applyFont="1" applyFill="1" applyBorder="1"/>
    <xf numFmtId="0" fontId="0" fillId="0" borderId="0" xfId="0"/>
    <xf numFmtId="176" fontId="4" fillId="0" borderId="1" xfId="0" applyNumberFormat="1" applyFont="1" applyBorder="1" applyAlignment="1">
      <alignment vertical="top" wrapText="1"/>
    </xf>
    <xf numFmtId="176" fontId="12" fillId="0" borderId="1" xfId="0" applyNumberFormat="1" applyFont="1" applyBorder="1" applyAlignment="1">
      <alignment vertical="top" wrapText="1"/>
    </xf>
    <xf numFmtId="177" fontId="4" fillId="5" borderId="1" xfId="0" applyNumberFormat="1" applyFont="1" applyFill="1" applyBorder="1" applyAlignment="1">
      <alignment vertical="top" wrapText="1"/>
    </xf>
    <xf numFmtId="178" fontId="4" fillId="5" borderId="1" xfId="0" applyNumberFormat="1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179" fontId="9" fillId="8" borderId="1" xfId="0" applyNumberFormat="1" applyFont="1" applyFill="1" applyBorder="1" applyAlignment="1">
      <alignment vertical="top" wrapText="1"/>
    </xf>
    <xf numFmtId="179" fontId="10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vertical="top" wrapText="1"/>
    </xf>
    <xf numFmtId="176" fontId="5" fillId="6" borderId="1" xfId="0" applyNumberFormat="1" applyFont="1" applyFill="1" applyBorder="1"/>
    <xf numFmtId="176" fontId="9" fillId="8" borderId="1" xfId="0" applyNumberFormat="1" applyFont="1" applyFill="1" applyBorder="1" applyAlignment="1">
      <alignment vertical="top" wrapText="1"/>
    </xf>
    <xf numFmtId="176" fontId="6" fillId="6" borderId="1" xfId="0" applyNumberFormat="1" applyFont="1" applyFill="1" applyBorder="1"/>
    <xf numFmtId="176" fontId="6" fillId="3" borderId="1" xfId="0" applyNumberFormat="1" applyFont="1" applyFill="1" applyBorder="1"/>
    <xf numFmtId="4" fontId="11" fillId="0" borderId="1" xfId="0" applyNumberFormat="1" applyFont="1" applyBorder="1" applyAlignment="1">
      <alignment vertical="top" wrapText="1"/>
    </xf>
    <xf numFmtId="4" fontId="12" fillId="0" borderId="1" xfId="0" applyNumberFormat="1" applyFont="1" applyBorder="1" applyAlignment="1">
      <alignment vertical="top" wrapText="1"/>
    </xf>
    <xf numFmtId="0" fontId="7" fillId="3" borderId="0" xfId="0" applyFont="1" applyFill="1"/>
    <xf numFmtId="0" fontId="0" fillId="0" borderId="0" xfId="0"/>
    <xf numFmtId="0" fontId="7" fillId="7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三版本预算构成（万元）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预算摘要!$C$9</c:f>
              <c:strCache>
                <c:ptCount val="1"/>
                <c:pt idx="0">
                  <c:v>硬件采购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预算摘要!$A$10:$A$12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预算摘要!$C$10:$C$12</c:f>
              <c:numCache>
                <c:formatCode>#,##0.0</c:formatCode>
                <c:ptCount val="3"/>
                <c:pt idx="0">
                  <c:v>634</c:v>
                </c:pt>
                <c:pt idx="1">
                  <c:v>1965</c:v>
                </c:pt>
                <c:pt idx="2">
                  <c:v>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24-4076-B875-ACFF9EC50958}"/>
            </c:ext>
          </c:extLst>
        </c:ser>
        <c:ser>
          <c:idx val="1"/>
          <c:order val="1"/>
          <c:tx>
            <c:strRef>
              <c:f>预算摘要!$D$9</c:f>
              <c:strCache>
                <c:ptCount val="1"/>
                <c:pt idx="0">
                  <c:v>算力租赁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预算摘要!$A$10:$A$12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预算摘要!$D$10:$D$12</c:f>
              <c:numCache>
                <c:formatCode>#,##0.0</c:formatCode>
                <c:ptCount val="3"/>
                <c:pt idx="0">
                  <c:v>276</c:v>
                </c:pt>
                <c:pt idx="1">
                  <c:v>984</c:v>
                </c:pt>
                <c:pt idx="2">
                  <c:v>2802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24-4076-B875-ACFF9EC50958}"/>
            </c:ext>
          </c:extLst>
        </c:ser>
        <c:ser>
          <c:idx val="2"/>
          <c:order val="2"/>
          <c:tx>
            <c:strRef>
              <c:f>预算摘要!$E$9</c:f>
              <c:strCache>
                <c:ptCount val="1"/>
                <c:pt idx="0">
                  <c:v>外部软件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预算摘要!$A$10:$A$12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预算摘要!$E$10:$E$12</c:f>
              <c:numCache>
                <c:formatCode>#,##0.0</c:formatCode>
                <c:ptCount val="3"/>
                <c:pt idx="0">
                  <c:v>150</c:v>
                </c:pt>
                <c:pt idx="1">
                  <c:v>450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24-4076-B875-ACFF9EC50958}"/>
            </c:ext>
          </c:extLst>
        </c:ser>
        <c:ser>
          <c:idx val="3"/>
          <c:order val="3"/>
          <c:tx>
            <c:strRef>
              <c:f>预算摘要!$F$9</c:f>
              <c:strCache>
                <c:ptCount val="1"/>
                <c:pt idx="0">
                  <c:v>人力成本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预算摘要!$A$10:$A$12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预算摘要!$F$10:$F$12</c:f>
              <c:numCache>
                <c:formatCode>#,##0.0</c:formatCode>
                <c:ptCount val="3"/>
                <c:pt idx="0">
                  <c:v>1290.2</c:v>
                </c:pt>
                <c:pt idx="1">
                  <c:v>2649</c:v>
                </c:pt>
                <c:pt idx="2">
                  <c:v>4023.6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24-4076-B875-ACFF9EC50958}"/>
            </c:ext>
          </c:extLst>
        </c:ser>
        <c:ser>
          <c:idx val="4"/>
          <c:order val="4"/>
          <c:tx>
            <c:strRef>
              <c:f>预算摘要!$G$9</c:f>
              <c:strCache>
                <c:ptCount val="1"/>
                <c:pt idx="0">
                  <c:v>不可预见费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预算摘要!$A$10:$A$12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预算摘要!$G$10:$G$12</c:f>
              <c:numCache>
                <c:formatCode>#,##0.0</c:formatCode>
                <c:ptCount val="3"/>
                <c:pt idx="0">
                  <c:v>352.53000000000003</c:v>
                </c:pt>
                <c:pt idx="1">
                  <c:v>907.19999999999993</c:v>
                </c:pt>
                <c:pt idx="2">
                  <c:v>2405.1200000000003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24-4076-B875-ACFF9EC50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万元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版本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基准与敏感性情景（万元）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预算摘要!$H$9</c:f>
              <c:strCache>
                <c:ptCount val="1"/>
                <c:pt idx="0">
                  <c:v>基准总额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预算摘要!$A$10:$A$12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预算摘要!$H$10:$H$12</c:f>
              <c:numCache>
                <c:formatCode>#,##0.0</c:formatCode>
                <c:ptCount val="3"/>
                <c:pt idx="0">
                  <c:v>2702.7300000000005</c:v>
                </c:pt>
                <c:pt idx="1">
                  <c:v>6955.2</c:v>
                </c:pt>
                <c:pt idx="2">
                  <c:v>14430.720000000001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1-48A2-A7B3-54BD984B8641}"/>
            </c:ext>
          </c:extLst>
        </c:ser>
        <c:ser>
          <c:idx val="1"/>
          <c:order val="1"/>
          <c:tx>
            <c:strRef>
              <c:f>预算摘要!$I$9</c:f>
              <c:strCache>
                <c:ptCount val="1"/>
                <c:pt idx="0">
                  <c:v>折合亿元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预算摘要!$A$10:$A$12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预算摘要!$I$10:$I$12</c:f>
              <c:numCache>
                <c:formatCode>#,##0.0</c:formatCode>
                <c:ptCount val="3"/>
                <c:pt idx="0">
                  <c:v>0.27027300000000004</c:v>
                </c:pt>
                <c:pt idx="1">
                  <c:v>0.69552000000000003</c:v>
                </c:pt>
                <c:pt idx="2">
                  <c:v>1.4430720000000001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71-48A2-A7B3-54BD984B8641}"/>
            </c:ext>
          </c:extLst>
        </c:ser>
        <c:ser>
          <c:idx val="2"/>
          <c:order val="2"/>
          <c:tx>
            <c:strRef>
              <c:f>预算摘要!$J$9</c:f>
              <c:strCache>
                <c:ptCount val="1"/>
                <c:pt idx="0">
                  <c:v>低位情景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预算摘要!$A$10:$A$12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预算摘要!$J$10:$J$12</c:f>
              <c:numCache>
                <c:formatCode>#,##0.0</c:formatCode>
                <c:ptCount val="3"/>
                <c:pt idx="0">
                  <c:v>2095.8404999999998</c:v>
                </c:pt>
                <c:pt idx="1">
                  <c:v>5278.6724999999988</c:v>
                </c:pt>
                <c:pt idx="2">
                  <c:v>10777.871999999999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71-48A2-A7B3-54BD984B8641}"/>
            </c:ext>
          </c:extLst>
        </c:ser>
        <c:ser>
          <c:idx val="3"/>
          <c:order val="3"/>
          <c:tx>
            <c:strRef>
              <c:f>预算摘要!$K$9</c:f>
              <c:strCache>
                <c:ptCount val="1"/>
                <c:pt idx="0">
                  <c:v>高位情景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预算摘要!$A$10:$A$12</c:f>
              <c:strCache>
                <c:ptCount val="3"/>
                <c:pt idx="0">
                  <c:v>L1</c:v>
                </c:pt>
                <c:pt idx="1">
                  <c:v>L2</c:v>
                </c:pt>
                <c:pt idx="2">
                  <c:v>L3</c:v>
                </c:pt>
              </c:strCache>
            </c:strRef>
          </c:cat>
          <c:val>
            <c:numRef>
              <c:f>预算摘要!$K$10:$K$12</c:f>
              <c:numCache>
                <c:formatCode>#,##0.0</c:formatCode>
                <c:ptCount val="3"/>
                <c:pt idx="0">
                  <c:v>3537.3424999999993</c:v>
                </c:pt>
                <c:pt idx="1">
                  <c:v>9219.2624999999989</c:v>
                </c:pt>
                <c:pt idx="2">
                  <c:v>19407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71-48A2-A7B3-54BD984B8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万元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fe.gov.cn/AppStructured/hlw/RMBQuery.do" TargetMode="External"/><Relationship Id="rId2" Type="http://schemas.openxmlformats.org/officeDocument/2006/relationships/hyperlink" Target="https://cloud.google.com/products/compute/pricing/accelerator-optimized" TargetMode="External"/><Relationship Id="rId1" Type="http://schemas.openxmlformats.org/officeDocument/2006/relationships/hyperlink" Target="https://aws.amazon.com/ec2/capacityblocks/pricing/" TargetMode="External"/><Relationship Id="rId6" Type="http://schemas.openxmlformats.org/officeDocument/2006/relationships/hyperlink" Target="https://github.com/bluesky/bluesky" TargetMode="External"/><Relationship Id="rId5" Type="http://schemas.openxmlformats.org/officeDocument/2006/relationships/hyperlink" Target="https://epics.anl.gov/license/open.php" TargetMode="External"/><Relationship Id="rId4" Type="http://schemas.openxmlformats.org/officeDocument/2006/relationships/hyperlink" Target="https://docs.api.nvidia.com/nim/docs/product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showGridLines="0" tabSelected="1" workbookViewId="0">
      <pane ySplit="9" topLeftCell="A10" activePane="bottomLeft" state="frozen"/>
      <selection pane="bottomLeft" sqref="A1:L2"/>
    </sheetView>
  </sheetViews>
  <sheetFormatPr defaultRowHeight="14.15" x14ac:dyDescent="0.3"/>
  <cols>
    <col min="1" max="1" width="10" style="8" customWidth="1"/>
    <col min="2" max="2" width="45" style="8" customWidth="1"/>
    <col min="3" max="6" width="15" style="8" customWidth="1"/>
    <col min="7" max="7" width="16" style="8" customWidth="1"/>
    <col min="8" max="8" width="15" style="8" customWidth="1"/>
    <col min="9" max="9" width="13" style="8" customWidth="1"/>
    <col min="10" max="11" width="15" style="8" customWidth="1"/>
    <col min="12" max="12" width="18" style="8" customWidth="1"/>
  </cols>
  <sheetData>
    <row r="1" spans="1:12" ht="26.05" customHeight="1" x14ac:dyDescent="0.3">
      <c r="A1" s="26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2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4" spans="1:12" ht="14.6" customHeight="1" x14ac:dyDescent="0.35">
      <c r="A4" s="1" t="s">
        <v>1</v>
      </c>
      <c r="B4" s="23" t="s">
        <v>2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ht="14.6" customHeight="1" x14ac:dyDescent="0.35">
      <c r="A5" s="1" t="s">
        <v>3</v>
      </c>
      <c r="B5" s="23" t="s">
        <v>4</v>
      </c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ht="14.6" customHeight="1" x14ac:dyDescent="0.35">
      <c r="A6" s="1" t="s">
        <v>5</v>
      </c>
      <c r="B6" s="25" t="s">
        <v>6</v>
      </c>
      <c r="C6" s="24"/>
      <c r="D6" s="24"/>
      <c r="E6" s="24"/>
      <c r="F6" s="24"/>
      <c r="G6" s="24"/>
      <c r="H6" s="24"/>
      <c r="I6" s="24"/>
      <c r="J6" s="24"/>
      <c r="K6" s="24"/>
      <c r="L6" s="24"/>
    </row>
    <row r="9" spans="1:12" ht="24.9" x14ac:dyDescent="0.3">
      <c r="A9" s="2" t="s">
        <v>7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</row>
    <row r="10" spans="1:12" x14ac:dyDescent="0.3">
      <c r="A10" s="3" t="s">
        <v>19</v>
      </c>
      <c r="B10" s="3" t="s">
        <v>20</v>
      </c>
      <c r="C10" s="9">
        <f>L1明细!M8</f>
        <v>634</v>
      </c>
      <c r="D10" s="9">
        <f>L1明细!M9</f>
        <v>276</v>
      </c>
      <c r="E10" s="9">
        <f>L1明细!M10</f>
        <v>150</v>
      </c>
      <c r="F10" s="9">
        <f>L1明细!M11</f>
        <v>1290.2</v>
      </c>
      <c r="G10" s="9">
        <f>L1明细!H30</f>
        <v>352.53000000000003</v>
      </c>
      <c r="H10" s="9">
        <f>L1明细!H31</f>
        <v>2702.7300000000005</v>
      </c>
      <c r="I10" s="9">
        <f>H10/10000</f>
        <v>0.27027300000000004</v>
      </c>
      <c r="J10" s="9">
        <f>(C10*假设与口径!$D$17+D10*假设与口径!$D$18+E10*假设与口径!$D$19+F10*假设与口径!$D$20)*(1+假设与口径!$C$12)</f>
        <v>2095.8404999999998</v>
      </c>
      <c r="K10" s="9">
        <f>(C10*假设与口径!$E$17+D10*假设与口径!$E$18+E10*假设与口径!$E$19+F10*假设与口径!$E$20)*(1+假设与口径!$C$12)</f>
        <v>3537.3424999999993</v>
      </c>
      <c r="L10" s="10">
        <f>C10*5%+D10/假设与口径!$C$8+E10/假设与口径!$C$8+人力模型!$F$25</f>
        <v>372.3</v>
      </c>
    </row>
    <row r="11" spans="1:12" x14ac:dyDescent="0.3">
      <c r="A11" s="3" t="s">
        <v>21</v>
      </c>
      <c r="B11" s="3" t="s">
        <v>22</v>
      </c>
      <c r="C11" s="9">
        <f>L2明细!M8</f>
        <v>1965</v>
      </c>
      <c r="D11" s="9">
        <f>L2明细!M9</f>
        <v>984</v>
      </c>
      <c r="E11" s="9">
        <f>L2明细!M10</f>
        <v>450</v>
      </c>
      <c r="F11" s="9">
        <f>L2明细!M11</f>
        <v>2649</v>
      </c>
      <c r="G11" s="9">
        <f>L2明细!H32</f>
        <v>907.19999999999993</v>
      </c>
      <c r="H11" s="9">
        <f>L2明细!H33</f>
        <v>6955.2</v>
      </c>
      <c r="I11" s="9">
        <f>H11/10000</f>
        <v>0.69552000000000003</v>
      </c>
      <c r="J11" s="9">
        <f>(C11*假设与口径!$D$17+D11*假设与口径!$D$18+E11*假设与口径!$D$19+F11*假设与口径!$D$20)*(1+假设与口径!$C$21)</f>
        <v>5278.6724999999988</v>
      </c>
      <c r="K11" s="9">
        <f>(C11*假设与口径!$E$17+D11*假设与口径!$E$18+E11*假设与口径!$E$19+F11*假设与口径!$E$20)*(1+假设与口径!$C$21)</f>
        <v>9219.2624999999989</v>
      </c>
      <c r="L11" s="10">
        <f>C11*5%+D11/假设与口径!$C$8+E11/假设与口径!$C$8+人力模型!$F$26</f>
        <v>960.45</v>
      </c>
    </row>
    <row r="12" spans="1:12" x14ac:dyDescent="0.3">
      <c r="A12" s="3" t="s">
        <v>23</v>
      </c>
      <c r="B12" s="3" t="s">
        <v>24</v>
      </c>
      <c r="C12" s="9">
        <f>L3明细!M8</f>
        <v>4300</v>
      </c>
      <c r="D12" s="9">
        <f>L3明细!M9</f>
        <v>2802</v>
      </c>
      <c r="E12" s="9">
        <f>L3明细!M10</f>
        <v>900</v>
      </c>
      <c r="F12" s="9">
        <f>L3明细!M11</f>
        <v>4023.6</v>
      </c>
      <c r="G12" s="9">
        <f>L3明细!H35</f>
        <v>2405.1200000000003</v>
      </c>
      <c r="H12" s="9">
        <f>L3明细!H36</f>
        <v>14430.720000000001</v>
      </c>
      <c r="I12" s="9">
        <f>H12/10000</f>
        <v>1.4430720000000001</v>
      </c>
      <c r="J12" s="9">
        <f>(C12*假设与口径!$D$17+D12*假设与口径!$D$18+E12*假设与口径!$D$19+F12*假设与口径!$D$20)*(1+假设与口径!$C$22)</f>
        <v>10777.871999999999</v>
      </c>
      <c r="K12" s="9">
        <f>(C12*假设与口径!$E$17+D12*假设与口径!$E$18+E12*假设与口径!$E$19+F12*假设与口径!$E$20)*(1+假设与口径!$C$22)</f>
        <v>19407</v>
      </c>
      <c r="L12" s="10">
        <f>C12*5%+D12/假设与口径!$C$8+E12/假设与口径!$C$8+人力模型!$F$27</f>
        <v>2137.4</v>
      </c>
    </row>
    <row r="15" spans="1:12" ht="14.6" customHeight="1" x14ac:dyDescent="0.35">
      <c r="A15" s="1" t="s">
        <v>25</v>
      </c>
      <c r="B15" s="25" t="s">
        <v>26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</row>
  </sheetData>
  <mergeCells count="5">
    <mergeCell ref="B4:L4"/>
    <mergeCell ref="B6:L6"/>
    <mergeCell ref="B15:L15"/>
    <mergeCell ref="A1:L2"/>
    <mergeCell ref="B5:L5"/>
  </mergeCells>
  <phoneticPr fontId="8" type="noConversion"/>
  <pageMargins left="0.3" right="0.3" top="0.5" bottom="0.5" header="0.5" footer="0.5"/>
  <pageSetup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workbookViewId="0">
      <pane ySplit="7" topLeftCell="A8" activePane="bottomLeft" state="frozen"/>
      <selection pane="bottomLeft"/>
    </sheetView>
  </sheetViews>
  <sheetFormatPr defaultRowHeight="14.15" x14ac:dyDescent="0.3"/>
  <cols>
    <col min="1" max="1" width="12" style="8" customWidth="1"/>
    <col min="2" max="2" width="24" style="8" customWidth="1"/>
    <col min="3" max="3" width="15" style="8" customWidth="1"/>
    <col min="4" max="5" width="13" style="8" customWidth="1"/>
    <col min="6" max="6" width="15" style="8" customWidth="1"/>
    <col min="7" max="7" width="62" style="8" customWidth="1"/>
  </cols>
  <sheetData>
    <row r="1" spans="1:7" ht="26.05" customHeight="1" x14ac:dyDescent="0.3">
      <c r="A1" s="26" t="s">
        <v>27</v>
      </c>
      <c r="B1" s="24"/>
      <c r="C1" s="24"/>
      <c r="D1" s="24"/>
      <c r="E1" s="24"/>
      <c r="F1" s="24"/>
      <c r="G1" s="24"/>
    </row>
    <row r="2" spans="1:7" ht="12" customHeight="1" x14ac:dyDescent="0.3">
      <c r="A2" s="24"/>
      <c r="B2" s="24"/>
      <c r="C2" s="24"/>
      <c r="D2" s="24"/>
      <c r="E2" s="24"/>
      <c r="F2" s="24"/>
      <c r="G2" s="24"/>
    </row>
    <row r="4" spans="1:7" ht="14.6" customHeight="1" x14ac:dyDescent="0.35">
      <c r="A4" s="1" t="s">
        <v>28</v>
      </c>
      <c r="B4" s="23" t="s">
        <v>29</v>
      </c>
      <c r="C4" s="24"/>
      <c r="D4" s="24"/>
      <c r="E4" s="24"/>
      <c r="F4" s="24"/>
      <c r="G4" s="24"/>
    </row>
    <row r="5" spans="1:7" ht="14.6" customHeight="1" x14ac:dyDescent="0.35">
      <c r="A5" s="1" t="s">
        <v>30</v>
      </c>
      <c r="B5" s="23" t="s">
        <v>31</v>
      </c>
      <c r="C5" s="24"/>
      <c r="D5" s="24"/>
      <c r="E5" s="24"/>
      <c r="F5" s="24"/>
      <c r="G5" s="24"/>
    </row>
    <row r="7" spans="1:7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</row>
    <row r="8" spans="1:7" x14ac:dyDescent="0.3">
      <c r="A8" s="3" t="s">
        <v>39</v>
      </c>
      <c r="B8" s="3" t="s">
        <v>40</v>
      </c>
      <c r="C8" s="4">
        <v>3</v>
      </c>
      <c r="D8" s="3"/>
      <c r="E8" s="3"/>
      <c r="F8" s="3" t="s">
        <v>41</v>
      </c>
      <c r="G8" s="3" t="s">
        <v>42</v>
      </c>
    </row>
    <row r="9" spans="1:7" x14ac:dyDescent="0.3">
      <c r="A9" s="3" t="s">
        <v>43</v>
      </c>
      <c r="B9" s="3" t="s">
        <v>44</v>
      </c>
      <c r="C9" s="4">
        <v>7</v>
      </c>
      <c r="D9" s="3"/>
      <c r="E9" s="3"/>
      <c r="F9" s="3" t="s">
        <v>45</v>
      </c>
      <c r="G9" s="3" t="s">
        <v>46</v>
      </c>
    </row>
    <row r="10" spans="1:7" x14ac:dyDescent="0.3">
      <c r="A10" s="3" t="s">
        <v>47</v>
      </c>
      <c r="B10" s="3" t="s">
        <v>48</v>
      </c>
      <c r="C10" s="4">
        <v>1</v>
      </c>
      <c r="D10" s="3"/>
      <c r="E10" s="3"/>
      <c r="F10" s="3" t="s">
        <v>49</v>
      </c>
      <c r="G10" s="3" t="s">
        <v>50</v>
      </c>
    </row>
    <row r="11" spans="1:7" x14ac:dyDescent="0.3">
      <c r="A11" s="3" t="s">
        <v>51</v>
      </c>
      <c r="B11" s="3" t="s">
        <v>52</v>
      </c>
      <c r="C11" s="4">
        <v>1</v>
      </c>
      <c r="D11" s="3"/>
      <c r="E11" s="3"/>
      <c r="F11" s="3" t="s">
        <v>53</v>
      </c>
      <c r="G11" s="3" t="s">
        <v>54</v>
      </c>
    </row>
    <row r="12" spans="1:7" x14ac:dyDescent="0.3">
      <c r="A12" s="3" t="s">
        <v>55</v>
      </c>
      <c r="B12" s="3" t="s">
        <v>56</v>
      </c>
      <c r="C12" s="11">
        <v>0.15</v>
      </c>
      <c r="D12" s="3"/>
      <c r="E12" s="3"/>
      <c r="F12" s="3" t="s">
        <v>57</v>
      </c>
      <c r="G12" s="3" t="s">
        <v>58</v>
      </c>
    </row>
    <row r="13" spans="1:7" x14ac:dyDescent="0.3">
      <c r="A13" s="3" t="s">
        <v>59</v>
      </c>
      <c r="B13" s="3" t="s">
        <v>60</v>
      </c>
      <c r="C13" s="4">
        <v>45</v>
      </c>
      <c r="D13" s="3"/>
      <c r="E13" s="3"/>
      <c r="F13" s="3" t="s">
        <v>61</v>
      </c>
      <c r="G13" s="3" t="s">
        <v>62</v>
      </c>
    </row>
    <row r="14" spans="1:7" x14ac:dyDescent="0.3">
      <c r="A14" s="3" t="s">
        <v>63</v>
      </c>
      <c r="B14" s="3" t="s">
        <v>64</v>
      </c>
      <c r="C14" s="4">
        <v>15</v>
      </c>
      <c r="D14" s="3"/>
      <c r="E14" s="3"/>
      <c r="F14" s="3" t="s">
        <v>61</v>
      </c>
      <c r="G14" s="3" t="s">
        <v>65</v>
      </c>
    </row>
    <row r="15" spans="1:7" ht="24.9" x14ac:dyDescent="0.3">
      <c r="A15" s="3" t="s">
        <v>66</v>
      </c>
      <c r="B15" s="3" t="s">
        <v>67</v>
      </c>
      <c r="C15" s="4">
        <v>1</v>
      </c>
      <c r="D15" s="3"/>
      <c r="E15" s="3"/>
      <c r="F15" s="3" t="s">
        <v>68</v>
      </c>
      <c r="G15" s="3" t="s">
        <v>69</v>
      </c>
    </row>
    <row r="16" spans="1:7" ht="24.9" customHeight="1" x14ac:dyDescent="0.3">
      <c r="A16" s="3" t="s">
        <v>70</v>
      </c>
      <c r="B16" s="3" t="s">
        <v>71</v>
      </c>
      <c r="C16" s="4">
        <v>1</v>
      </c>
      <c r="D16" s="3"/>
      <c r="E16" s="3"/>
      <c r="F16" s="3" t="s">
        <v>72</v>
      </c>
      <c r="G16" s="3" t="s">
        <v>73</v>
      </c>
    </row>
    <row r="17" spans="1:7" x14ac:dyDescent="0.3">
      <c r="A17" s="3" t="s">
        <v>74</v>
      </c>
      <c r="B17" s="3" t="s">
        <v>75</v>
      </c>
      <c r="C17" s="4">
        <v>1</v>
      </c>
      <c r="D17" s="12">
        <v>0.7</v>
      </c>
      <c r="E17" s="12">
        <v>1.3</v>
      </c>
      <c r="F17" s="3" t="s">
        <v>76</v>
      </c>
      <c r="G17" s="3" t="s">
        <v>77</v>
      </c>
    </row>
    <row r="18" spans="1:7" x14ac:dyDescent="0.3">
      <c r="A18" s="3" t="s">
        <v>78</v>
      </c>
      <c r="B18" s="3" t="s">
        <v>79</v>
      </c>
      <c r="C18" s="4">
        <v>1</v>
      </c>
      <c r="D18" s="12">
        <v>0.75</v>
      </c>
      <c r="E18" s="12">
        <v>1.5</v>
      </c>
      <c r="F18" s="3" t="s">
        <v>76</v>
      </c>
      <c r="G18" s="3" t="s">
        <v>80</v>
      </c>
    </row>
    <row r="19" spans="1:7" x14ac:dyDescent="0.3">
      <c r="A19" s="3" t="s">
        <v>81</v>
      </c>
      <c r="B19" s="3" t="s">
        <v>82</v>
      </c>
      <c r="C19" s="4">
        <v>1</v>
      </c>
      <c r="D19" s="12">
        <v>0.5</v>
      </c>
      <c r="E19" s="12">
        <v>1.5</v>
      </c>
      <c r="F19" s="3" t="s">
        <v>76</v>
      </c>
      <c r="G19" s="3" t="s">
        <v>83</v>
      </c>
    </row>
    <row r="20" spans="1:7" x14ac:dyDescent="0.3">
      <c r="A20" s="3" t="s">
        <v>84</v>
      </c>
      <c r="B20" s="3" t="s">
        <v>85</v>
      </c>
      <c r="C20" s="4">
        <v>1</v>
      </c>
      <c r="D20" s="12">
        <v>0.85</v>
      </c>
      <c r="E20" s="12">
        <v>1.25</v>
      </c>
      <c r="F20" s="3" t="s">
        <v>76</v>
      </c>
      <c r="G20" s="3" t="s">
        <v>86</v>
      </c>
    </row>
    <row r="21" spans="1:7" x14ac:dyDescent="0.3">
      <c r="A21" s="3" t="s">
        <v>87</v>
      </c>
      <c r="B21" s="3" t="s">
        <v>88</v>
      </c>
      <c r="C21" s="11">
        <v>0.15</v>
      </c>
      <c r="D21" s="3"/>
      <c r="E21" s="3"/>
      <c r="F21" s="3" t="s">
        <v>57</v>
      </c>
      <c r="G21" s="3" t="s">
        <v>89</v>
      </c>
    </row>
    <row r="22" spans="1:7" x14ac:dyDescent="0.3">
      <c r="A22" s="3" t="s">
        <v>90</v>
      </c>
      <c r="B22" s="3" t="s">
        <v>91</v>
      </c>
      <c r="C22" s="11">
        <v>0.2</v>
      </c>
      <c r="D22" s="3"/>
      <c r="E22" s="3"/>
      <c r="F22" s="3" t="s">
        <v>57</v>
      </c>
      <c r="G22" s="3" t="s">
        <v>92</v>
      </c>
    </row>
    <row r="23" spans="1:7" ht="24.9" x14ac:dyDescent="0.3">
      <c r="A23" s="3" t="s">
        <v>93</v>
      </c>
      <c r="B23" s="3" t="s">
        <v>94</v>
      </c>
      <c r="C23" s="13">
        <v>40</v>
      </c>
      <c r="D23" s="3"/>
      <c r="E23" s="3"/>
      <c r="F23" s="3" t="s">
        <v>95</v>
      </c>
      <c r="G23" s="3" t="s">
        <v>96</v>
      </c>
    </row>
    <row r="24" spans="1:7" x14ac:dyDescent="0.3">
      <c r="A24" s="3" t="s">
        <v>97</v>
      </c>
      <c r="B24" s="3" t="s">
        <v>98</v>
      </c>
      <c r="C24" s="13">
        <v>50</v>
      </c>
      <c r="D24" s="3"/>
      <c r="E24" s="3"/>
      <c r="F24" s="3" t="s">
        <v>95</v>
      </c>
      <c r="G24" s="3" t="s">
        <v>99</v>
      </c>
    </row>
    <row r="25" spans="1:7" x14ac:dyDescent="0.3">
      <c r="A25" s="3" t="s">
        <v>100</v>
      </c>
      <c r="B25" s="3" t="s">
        <v>101</v>
      </c>
      <c r="C25" s="14">
        <v>0.4</v>
      </c>
      <c r="D25" s="3"/>
      <c r="E25" s="3"/>
      <c r="F25" s="3" t="s">
        <v>102</v>
      </c>
      <c r="G25" s="3" t="s">
        <v>103</v>
      </c>
    </row>
    <row r="26" spans="1:7" x14ac:dyDescent="0.3">
      <c r="A26" s="3" t="s">
        <v>104</v>
      </c>
      <c r="B26" s="3" t="s">
        <v>105</v>
      </c>
      <c r="C26" s="15">
        <f>C25*12</f>
        <v>4.8000000000000007</v>
      </c>
      <c r="D26" s="3"/>
      <c r="E26" s="3"/>
      <c r="F26" s="3" t="s">
        <v>95</v>
      </c>
      <c r="G26" s="3" t="s">
        <v>106</v>
      </c>
    </row>
  </sheetData>
  <autoFilter ref="A7:G22" xr:uid="{00000000-0009-0000-0000-000001000000}"/>
  <mergeCells count="3">
    <mergeCell ref="B5:G5"/>
    <mergeCell ref="B4:G4"/>
    <mergeCell ref="A1:G2"/>
  </mergeCells>
  <phoneticPr fontId="8" type="noConversion"/>
  <pageMargins left="0.3" right="0.3" top="0.5" bottom="0.5" header="0.5" footer="0.5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showGridLines="0" workbookViewId="0">
      <pane ySplit="15" topLeftCell="A16" activePane="bottomLeft" state="frozen"/>
      <selection pane="bottomLeft"/>
    </sheetView>
  </sheetViews>
  <sheetFormatPr defaultRowHeight="14.15" x14ac:dyDescent="0.3"/>
  <cols>
    <col min="1" max="1" width="10" style="8" customWidth="1"/>
    <col min="2" max="2" width="19" style="8" customWidth="1"/>
    <col min="3" max="6" width="20" style="8" customWidth="1"/>
    <col min="7" max="7" width="18" style="8" customWidth="1"/>
    <col min="8" max="8" width="13" style="8" customWidth="1"/>
    <col min="9" max="9" width="18" style="8" customWidth="1"/>
    <col min="10" max="10" width="52" style="8" customWidth="1"/>
  </cols>
  <sheetData>
    <row r="1" spans="1:10" ht="26.05" customHeight="1" x14ac:dyDescent="0.3">
      <c r="A1" s="26" t="s">
        <v>107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ht="12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</row>
    <row r="4" spans="1:10" ht="14.6" customHeight="1" x14ac:dyDescent="0.35">
      <c r="A4" s="1" t="s">
        <v>108</v>
      </c>
    </row>
    <row r="5" spans="1:10" x14ac:dyDescent="0.3">
      <c r="A5" s="2" t="s">
        <v>109</v>
      </c>
      <c r="B5" s="2" t="s">
        <v>110</v>
      </c>
      <c r="C5" s="2" t="s">
        <v>111</v>
      </c>
      <c r="D5" s="2" t="s">
        <v>37</v>
      </c>
      <c r="E5" s="2" t="s">
        <v>112</v>
      </c>
    </row>
    <row r="6" spans="1:10" ht="24.9" customHeight="1" x14ac:dyDescent="0.3">
      <c r="A6" s="3" t="s">
        <v>113</v>
      </c>
      <c r="B6" s="4">
        <v>3.9329999999999998</v>
      </c>
      <c r="C6" s="3">
        <v>4.72</v>
      </c>
      <c r="D6" s="3" t="s">
        <v>114</v>
      </c>
      <c r="E6" s="3" t="s">
        <v>115</v>
      </c>
    </row>
    <row r="7" spans="1:10" ht="24.9" customHeight="1" x14ac:dyDescent="0.3">
      <c r="A7" s="3" t="s">
        <v>116</v>
      </c>
      <c r="B7" s="4">
        <v>88.49</v>
      </c>
      <c r="C7" s="3"/>
      <c r="D7" s="3" t="s">
        <v>117</v>
      </c>
      <c r="E7" s="3" t="s">
        <v>118</v>
      </c>
    </row>
    <row r="8" spans="1:10" ht="37.299999999999997" customHeight="1" x14ac:dyDescent="0.3">
      <c r="A8" s="3" t="s">
        <v>119</v>
      </c>
      <c r="B8" s="4">
        <v>38.863999999999997</v>
      </c>
      <c r="C8" s="3"/>
      <c r="D8" s="3" t="s">
        <v>117</v>
      </c>
      <c r="E8" s="3" t="s">
        <v>120</v>
      </c>
    </row>
    <row r="9" spans="1:10" ht="24.9" customHeight="1" x14ac:dyDescent="0.3">
      <c r="A9" s="3" t="s">
        <v>121</v>
      </c>
      <c r="B9" s="4">
        <v>6.7904999999999998</v>
      </c>
      <c r="C9" s="3"/>
      <c r="D9" s="3" t="s">
        <v>45</v>
      </c>
      <c r="E9" s="3" t="s">
        <v>122</v>
      </c>
    </row>
    <row r="10" spans="1:10" x14ac:dyDescent="0.3">
      <c r="A10" s="3" t="s">
        <v>44</v>
      </c>
      <c r="B10" s="3">
        <f>假设与口径!$C$9</f>
        <v>7</v>
      </c>
      <c r="C10" s="3"/>
      <c r="D10" s="3" t="s">
        <v>45</v>
      </c>
      <c r="E10" s="3" t="s">
        <v>43</v>
      </c>
    </row>
    <row r="11" spans="1:10" ht="24.9" customHeight="1" x14ac:dyDescent="0.3">
      <c r="A11" s="3" t="s">
        <v>123</v>
      </c>
      <c r="B11" s="3">
        <f>假设与口径!$C$13/10000</f>
        <v>4.4999999999999997E-3</v>
      </c>
      <c r="C11" s="3"/>
      <c r="D11" s="3" t="s">
        <v>124</v>
      </c>
      <c r="E11" s="3" t="s">
        <v>59</v>
      </c>
    </row>
    <row r="12" spans="1:10" ht="24.9" customHeight="1" x14ac:dyDescent="0.3">
      <c r="A12" s="3" t="s">
        <v>125</v>
      </c>
      <c r="B12" s="3">
        <f>假设与口径!$C$14/10000</f>
        <v>1.5E-3</v>
      </c>
      <c r="C12" s="3"/>
      <c r="D12" s="3" t="s">
        <v>124</v>
      </c>
      <c r="E12" s="3" t="s">
        <v>63</v>
      </c>
    </row>
    <row r="15" spans="1:10" ht="14.6" customHeight="1" x14ac:dyDescent="0.35">
      <c r="A15" s="1" t="s">
        <v>126</v>
      </c>
    </row>
    <row r="16" spans="1:10" x14ac:dyDescent="0.3">
      <c r="A16" s="2" t="s">
        <v>7</v>
      </c>
      <c r="B16" s="2" t="s">
        <v>127</v>
      </c>
      <c r="C16" s="2" t="s">
        <v>128</v>
      </c>
      <c r="D16" s="2" t="s">
        <v>129</v>
      </c>
      <c r="E16" s="2" t="s">
        <v>130</v>
      </c>
      <c r="F16" s="2" t="s">
        <v>131</v>
      </c>
      <c r="G16" s="2" t="s">
        <v>132</v>
      </c>
      <c r="H16" s="2" t="s">
        <v>133</v>
      </c>
      <c r="I16" s="2" t="s">
        <v>134</v>
      </c>
      <c r="J16" s="2" t="s">
        <v>135</v>
      </c>
    </row>
    <row r="17" spans="1:10" x14ac:dyDescent="0.3">
      <c r="A17" s="3" t="s">
        <v>19</v>
      </c>
      <c r="B17" s="4">
        <v>8000</v>
      </c>
      <c r="C17" s="4">
        <v>0</v>
      </c>
      <c r="D17" s="4">
        <v>40</v>
      </c>
      <c r="E17" s="4">
        <v>40</v>
      </c>
      <c r="F17" s="4">
        <v>0</v>
      </c>
      <c r="G17" s="9">
        <f>B17*$B$12+C17*$B$11+D17+E17+F17</f>
        <v>92</v>
      </c>
      <c r="H17" s="9">
        <f>假设与口径!$C$8</f>
        <v>3</v>
      </c>
      <c r="I17" s="9">
        <f>G17*H17</f>
        <v>276</v>
      </c>
      <c r="J17" s="3" t="s">
        <v>136</v>
      </c>
    </row>
    <row r="18" spans="1:10" x14ac:dyDescent="0.3">
      <c r="A18" s="3" t="s">
        <v>21</v>
      </c>
      <c r="B18" s="4">
        <v>24000</v>
      </c>
      <c r="C18" s="4">
        <v>16000</v>
      </c>
      <c r="D18" s="4">
        <v>120</v>
      </c>
      <c r="E18" s="4">
        <v>100</v>
      </c>
      <c r="F18" s="4">
        <v>0</v>
      </c>
      <c r="G18" s="9">
        <f>B18*$B$12+C18*$B$11+D18+E18+F18</f>
        <v>328</v>
      </c>
      <c r="H18" s="9">
        <f>假设与口径!$C$8</f>
        <v>3</v>
      </c>
      <c r="I18" s="9">
        <f>G18*H18</f>
        <v>984</v>
      </c>
      <c r="J18" s="3" t="s">
        <v>137</v>
      </c>
    </row>
    <row r="19" spans="1:10" x14ac:dyDescent="0.3">
      <c r="A19" s="3" t="s">
        <v>23</v>
      </c>
      <c r="B19" s="4">
        <v>56000</v>
      </c>
      <c r="C19" s="4">
        <v>40000</v>
      </c>
      <c r="D19" s="4">
        <v>300</v>
      </c>
      <c r="E19" s="4">
        <v>220</v>
      </c>
      <c r="F19" s="4">
        <v>150</v>
      </c>
      <c r="G19" s="9">
        <f>B19*$B$12+C19*$B$11+D19+E19+F19</f>
        <v>934</v>
      </c>
      <c r="H19" s="9">
        <f>假设与口径!$C$8</f>
        <v>3</v>
      </c>
      <c r="I19" s="9">
        <f>G19*H19</f>
        <v>2802</v>
      </c>
      <c r="J19" s="3" t="s">
        <v>138</v>
      </c>
    </row>
  </sheetData>
  <mergeCells count="1">
    <mergeCell ref="A1:J2"/>
  </mergeCells>
  <phoneticPr fontId="8" type="noConversion"/>
  <pageMargins left="0.3" right="0.3" top="0.5" bottom="0.5" header="0.5" footer="0.5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showGridLines="0" workbookViewId="0">
      <pane ySplit="6" topLeftCell="A7" activePane="bottomLeft" state="frozen"/>
      <selection pane="bottomLeft"/>
    </sheetView>
  </sheetViews>
  <sheetFormatPr defaultRowHeight="14.15" x14ac:dyDescent="0.3"/>
  <cols>
    <col min="1" max="1" width="25" style="8" customWidth="1"/>
    <col min="2" max="2" width="21" style="8" customWidth="1"/>
    <col min="3" max="5" width="12" style="8" customWidth="1"/>
    <col min="6" max="8" width="15" style="8" customWidth="1"/>
    <col min="9" max="9" width="55" style="8" customWidth="1"/>
  </cols>
  <sheetData>
    <row r="1" spans="1:9" ht="26.05" customHeight="1" x14ac:dyDescent="0.3">
      <c r="A1" s="26" t="s">
        <v>139</v>
      </c>
      <c r="B1" s="24"/>
      <c r="C1" s="24"/>
      <c r="D1" s="24"/>
      <c r="E1" s="24"/>
      <c r="F1" s="24"/>
      <c r="G1" s="24"/>
      <c r="H1" s="24"/>
      <c r="I1" s="24"/>
    </row>
    <row r="2" spans="1:9" ht="12" customHeight="1" x14ac:dyDescent="0.3">
      <c r="A2" s="24"/>
      <c r="B2" s="24"/>
      <c r="C2" s="24"/>
      <c r="D2" s="24"/>
      <c r="E2" s="24"/>
      <c r="F2" s="24"/>
      <c r="G2" s="24"/>
      <c r="H2" s="24"/>
      <c r="I2" s="24"/>
    </row>
    <row r="4" spans="1:9" ht="14.6" customHeight="1" x14ac:dyDescent="0.35">
      <c r="A4" s="1" t="s">
        <v>140</v>
      </c>
      <c r="B4" s="23" t="s">
        <v>141</v>
      </c>
      <c r="C4" s="24"/>
      <c r="D4" s="24"/>
      <c r="E4" s="24"/>
      <c r="F4" s="24"/>
      <c r="G4" s="24"/>
      <c r="H4" s="24"/>
      <c r="I4" s="24"/>
    </row>
    <row r="6" spans="1:9" x14ac:dyDescent="0.3">
      <c r="A6" s="2" t="s">
        <v>142</v>
      </c>
      <c r="B6" s="2" t="s">
        <v>143</v>
      </c>
      <c r="C6" s="2" t="s">
        <v>144</v>
      </c>
      <c r="D6" s="2" t="s">
        <v>145</v>
      </c>
      <c r="E6" s="2" t="s">
        <v>146</v>
      </c>
      <c r="F6" s="2" t="s">
        <v>147</v>
      </c>
      <c r="G6" s="2" t="s">
        <v>148</v>
      </c>
      <c r="H6" s="2" t="s">
        <v>149</v>
      </c>
      <c r="I6" s="2" t="s">
        <v>150</v>
      </c>
    </row>
    <row r="7" spans="1:9" x14ac:dyDescent="0.3">
      <c r="A7" s="3" t="s">
        <v>151</v>
      </c>
      <c r="B7" s="16">
        <f>假设与口径!$C$23</f>
        <v>40</v>
      </c>
      <c r="C7" s="10">
        <f>$B$19*$C$19</f>
        <v>10</v>
      </c>
      <c r="D7" s="10">
        <f>$B$20*$C$20</f>
        <v>20</v>
      </c>
      <c r="E7" s="10">
        <f>$B$21*$C$21</f>
        <v>30</v>
      </c>
      <c r="F7" s="10">
        <f t="shared" ref="F7:F14" si="0">B7*C7</f>
        <v>400</v>
      </c>
      <c r="G7" s="10">
        <f t="shared" ref="G7:G14" si="1">B7*D7</f>
        <v>800</v>
      </c>
      <c r="H7" s="10">
        <f t="shared" ref="H7:H14" si="2">B7*E7</f>
        <v>1200</v>
      </c>
      <c r="I7" s="3" t="s">
        <v>152</v>
      </c>
    </row>
    <row r="8" spans="1:9" x14ac:dyDescent="0.3">
      <c r="A8" s="3" t="s">
        <v>153</v>
      </c>
      <c r="B8" s="16">
        <f>假设与口径!$C$23</f>
        <v>40</v>
      </c>
      <c r="C8" s="10">
        <f>$B$19*$C$19</f>
        <v>10</v>
      </c>
      <c r="D8" s="10">
        <f>$B$20*$C$20</f>
        <v>20</v>
      </c>
      <c r="E8" s="10">
        <f>$B$21*$C$21</f>
        <v>30</v>
      </c>
      <c r="F8" s="10">
        <f t="shared" si="0"/>
        <v>400</v>
      </c>
      <c r="G8" s="10">
        <f t="shared" si="1"/>
        <v>800</v>
      </c>
      <c r="H8" s="10">
        <f t="shared" si="2"/>
        <v>1200</v>
      </c>
      <c r="I8" s="3" t="s">
        <v>154</v>
      </c>
    </row>
    <row r="9" spans="1:9" x14ac:dyDescent="0.3">
      <c r="A9" s="3" t="s">
        <v>155</v>
      </c>
      <c r="B9" s="16">
        <f>假设与口径!$C$26</f>
        <v>4.8000000000000007</v>
      </c>
      <c r="C9" s="10">
        <f>$B$19*$C$19*$D$19</f>
        <v>40</v>
      </c>
      <c r="D9" s="10">
        <f>$B$20*$C$20*$D$20</f>
        <v>100</v>
      </c>
      <c r="E9" s="10">
        <f>$B$21*$C$21*$D$21</f>
        <v>180</v>
      </c>
      <c r="F9" s="10">
        <f t="shared" si="0"/>
        <v>192.00000000000003</v>
      </c>
      <c r="G9" s="10">
        <f t="shared" si="1"/>
        <v>480.00000000000006</v>
      </c>
      <c r="H9" s="10">
        <f t="shared" si="2"/>
        <v>864.00000000000011</v>
      </c>
      <c r="I9" s="3" t="s">
        <v>156</v>
      </c>
    </row>
    <row r="10" spans="1:9" x14ac:dyDescent="0.3">
      <c r="A10" s="3" t="s">
        <v>157</v>
      </c>
      <c r="B10" s="16">
        <f>假设与口径!$C$23</f>
        <v>40</v>
      </c>
      <c r="C10" s="10">
        <f>2*$E$19</f>
        <v>3</v>
      </c>
      <c r="D10" s="10">
        <f>2*$E$20</f>
        <v>4</v>
      </c>
      <c r="E10" s="10">
        <f>2*$E$21</f>
        <v>6</v>
      </c>
      <c r="F10" s="10">
        <f t="shared" si="0"/>
        <v>120</v>
      </c>
      <c r="G10" s="10">
        <f t="shared" si="1"/>
        <v>160</v>
      </c>
      <c r="H10" s="10">
        <f t="shared" si="2"/>
        <v>240</v>
      </c>
      <c r="I10" s="3" t="s">
        <v>158</v>
      </c>
    </row>
    <row r="11" spans="1:9" x14ac:dyDescent="0.3">
      <c r="A11" s="3" t="s">
        <v>159</v>
      </c>
      <c r="B11" s="16">
        <f>假设与口径!$C$26</f>
        <v>4.8000000000000007</v>
      </c>
      <c r="C11" s="10">
        <f>$E$19*$D$19</f>
        <v>6</v>
      </c>
      <c r="D11" s="10">
        <f>$E$20*$D$20</f>
        <v>10</v>
      </c>
      <c r="E11" s="10">
        <f>$E$21*$D$21</f>
        <v>18</v>
      </c>
      <c r="F11" s="10">
        <f t="shared" si="0"/>
        <v>28.800000000000004</v>
      </c>
      <c r="G11" s="10">
        <f t="shared" si="1"/>
        <v>48.000000000000007</v>
      </c>
      <c r="H11" s="10">
        <f t="shared" si="2"/>
        <v>86.4</v>
      </c>
      <c r="I11" s="3" t="s">
        <v>160</v>
      </c>
    </row>
    <row r="12" spans="1:9" x14ac:dyDescent="0.3">
      <c r="A12" s="3" t="s">
        <v>161</v>
      </c>
      <c r="B12" s="16">
        <f>假设与口径!$C$24</f>
        <v>50</v>
      </c>
      <c r="C12" s="10">
        <f>$F$19</f>
        <v>1.5</v>
      </c>
      <c r="D12" s="10">
        <f>$F$20</f>
        <v>2.5</v>
      </c>
      <c r="E12" s="10">
        <f>$F$21</f>
        <v>3</v>
      </c>
      <c r="F12" s="10">
        <f t="shared" si="0"/>
        <v>75</v>
      </c>
      <c r="G12" s="10">
        <f t="shared" si="1"/>
        <v>125</v>
      </c>
      <c r="H12" s="10">
        <f t="shared" si="2"/>
        <v>150</v>
      </c>
      <c r="I12" s="3" t="s">
        <v>162</v>
      </c>
    </row>
    <row r="13" spans="1:9" x14ac:dyDescent="0.3">
      <c r="A13" s="3" t="s">
        <v>163</v>
      </c>
      <c r="B13" s="16">
        <f>假设与口径!$C$23</f>
        <v>40</v>
      </c>
      <c r="C13" s="10">
        <f>$F$19*$G$19</f>
        <v>1.5</v>
      </c>
      <c r="D13" s="10">
        <f>$F$20*$G$20</f>
        <v>5</v>
      </c>
      <c r="E13" s="10">
        <f>$F$21*$G$21</f>
        <v>6</v>
      </c>
      <c r="F13" s="10">
        <f t="shared" si="0"/>
        <v>60</v>
      </c>
      <c r="G13" s="10">
        <f t="shared" si="1"/>
        <v>200</v>
      </c>
      <c r="H13" s="10">
        <f t="shared" si="2"/>
        <v>240</v>
      </c>
      <c r="I13" s="3" t="s">
        <v>164</v>
      </c>
    </row>
    <row r="14" spans="1:9" x14ac:dyDescent="0.3">
      <c r="A14" s="3" t="s">
        <v>165</v>
      </c>
      <c r="B14" s="16">
        <f>假设与口径!$C$26</f>
        <v>4.8000000000000007</v>
      </c>
      <c r="C14" s="10">
        <f>$F$19*$H$19</f>
        <v>3</v>
      </c>
      <c r="D14" s="10">
        <f>$F$20*$H$20</f>
        <v>7.5</v>
      </c>
      <c r="E14" s="10">
        <f>$F$21*$H$21</f>
        <v>9</v>
      </c>
      <c r="F14" s="10">
        <f t="shared" si="0"/>
        <v>14.400000000000002</v>
      </c>
      <c r="G14" s="10">
        <f t="shared" si="1"/>
        <v>36.000000000000007</v>
      </c>
      <c r="H14" s="10">
        <f t="shared" si="2"/>
        <v>43.2</v>
      </c>
      <c r="I14" s="3" t="s">
        <v>166</v>
      </c>
    </row>
    <row r="15" spans="1:9" ht="14.6" customHeight="1" x14ac:dyDescent="0.35">
      <c r="A15" s="5" t="s">
        <v>167</v>
      </c>
      <c r="B15" s="5"/>
      <c r="C15" s="17">
        <f t="shared" ref="C15:H15" si="3">SUM(C7:C14)</f>
        <v>75</v>
      </c>
      <c r="D15" s="17">
        <f t="shared" si="3"/>
        <v>169</v>
      </c>
      <c r="E15" s="17">
        <f t="shared" si="3"/>
        <v>282</v>
      </c>
      <c r="F15" s="17">
        <f t="shared" si="3"/>
        <v>1290.2</v>
      </c>
      <c r="G15" s="17">
        <f t="shared" si="3"/>
        <v>2649</v>
      </c>
      <c r="H15" s="17">
        <f t="shared" si="3"/>
        <v>4023.6</v>
      </c>
      <c r="I15" s="5" t="s">
        <v>168</v>
      </c>
    </row>
    <row r="17" spans="1:9" ht="24" customHeight="1" x14ac:dyDescent="0.3">
      <c r="A17" s="26" t="s">
        <v>169</v>
      </c>
      <c r="B17" s="24"/>
      <c r="C17" s="24"/>
      <c r="D17" s="24"/>
      <c r="E17" s="24"/>
      <c r="F17" s="24"/>
      <c r="G17" s="24"/>
      <c r="H17" s="24"/>
      <c r="I17" s="24"/>
    </row>
    <row r="18" spans="1:9" ht="24" customHeight="1" x14ac:dyDescent="0.3">
      <c r="A18" s="2" t="s">
        <v>7</v>
      </c>
      <c r="B18" s="2" t="s">
        <v>170</v>
      </c>
      <c r="C18" s="2" t="s">
        <v>171</v>
      </c>
      <c r="D18" s="2" t="s">
        <v>172</v>
      </c>
      <c r="E18" s="2" t="s">
        <v>173</v>
      </c>
      <c r="F18" s="2" t="s">
        <v>174</v>
      </c>
      <c r="G18" s="2" t="s">
        <v>175</v>
      </c>
      <c r="H18" s="2" t="s">
        <v>176</v>
      </c>
      <c r="I18" s="2" t="s">
        <v>135</v>
      </c>
    </row>
    <row r="19" spans="1:9" ht="24" customHeight="1" x14ac:dyDescent="0.3">
      <c r="A19" s="3" t="s">
        <v>19</v>
      </c>
      <c r="B19" s="18">
        <v>10</v>
      </c>
      <c r="C19" s="18">
        <v>1</v>
      </c>
      <c r="D19" s="18">
        <v>4</v>
      </c>
      <c r="E19" s="18">
        <v>1.5</v>
      </c>
      <c r="F19" s="18">
        <v>1.5</v>
      </c>
      <c r="G19" s="18">
        <v>1</v>
      </c>
      <c r="H19" s="18">
        <v>2</v>
      </c>
      <c r="I19" t="s">
        <v>177</v>
      </c>
    </row>
    <row r="20" spans="1:9" ht="24" customHeight="1" x14ac:dyDescent="0.3">
      <c r="A20" s="3" t="s">
        <v>21</v>
      </c>
      <c r="B20" s="18">
        <v>10</v>
      </c>
      <c r="C20" s="18">
        <v>2</v>
      </c>
      <c r="D20" s="18">
        <v>5</v>
      </c>
      <c r="E20" s="18">
        <v>2</v>
      </c>
      <c r="F20" s="18">
        <v>2.5</v>
      </c>
      <c r="G20" s="18">
        <v>2</v>
      </c>
      <c r="H20" s="18">
        <v>3</v>
      </c>
      <c r="I20" t="s">
        <v>178</v>
      </c>
    </row>
    <row r="21" spans="1:9" ht="24" customHeight="1" x14ac:dyDescent="0.3">
      <c r="A21" s="3" t="s">
        <v>23</v>
      </c>
      <c r="B21" s="18">
        <v>10</v>
      </c>
      <c r="C21" s="18">
        <v>3</v>
      </c>
      <c r="D21" s="18">
        <v>6</v>
      </c>
      <c r="E21" s="18">
        <v>3</v>
      </c>
      <c r="F21" s="18">
        <v>3</v>
      </c>
      <c r="G21" s="18">
        <v>2</v>
      </c>
      <c r="H21" s="18">
        <v>3</v>
      </c>
      <c r="I21" t="s">
        <v>179</v>
      </c>
    </row>
    <row r="22" spans="1:9" ht="24" customHeight="1" x14ac:dyDescent="0.3"/>
    <row r="23" spans="1:9" ht="24" customHeight="1" x14ac:dyDescent="0.3">
      <c r="A23" s="26" t="s">
        <v>180</v>
      </c>
      <c r="B23" s="24"/>
      <c r="C23" s="24"/>
      <c r="D23" s="24"/>
      <c r="E23" s="24"/>
      <c r="F23" s="24"/>
    </row>
    <row r="24" spans="1:9" ht="24" customHeight="1" x14ac:dyDescent="0.3">
      <c r="A24" s="2" t="s">
        <v>7</v>
      </c>
      <c r="B24" s="2" t="s">
        <v>181</v>
      </c>
      <c r="C24" s="2" t="s">
        <v>182</v>
      </c>
      <c r="D24" s="2" t="s">
        <v>183</v>
      </c>
      <c r="E24" s="2" t="s">
        <v>184</v>
      </c>
      <c r="F24" s="2" t="s">
        <v>185</v>
      </c>
    </row>
    <row r="25" spans="1:9" ht="24" customHeight="1" x14ac:dyDescent="0.3">
      <c r="A25" t="s">
        <v>19</v>
      </c>
      <c r="B25" s="18">
        <v>1</v>
      </c>
      <c r="C25" s="18">
        <v>0.5</v>
      </c>
      <c r="D25" s="18">
        <v>0.5</v>
      </c>
      <c r="E25">
        <v>19</v>
      </c>
      <c r="F25" s="10">
        <f>(B25+C25)*(2*$B$7+$D$19*$B$9)+D25*($B$12+$G$19*$B$13+$H$19*$B$14)</f>
        <v>198.60000000000002</v>
      </c>
    </row>
    <row r="26" spans="1:9" ht="24" customHeight="1" x14ac:dyDescent="0.3">
      <c r="A26" t="s">
        <v>21</v>
      </c>
      <c r="B26" s="18">
        <v>2.5</v>
      </c>
      <c r="C26" s="18">
        <v>0.5</v>
      </c>
      <c r="D26" s="18">
        <v>0.5</v>
      </c>
      <c r="E26">
        <v>20</v>
      </c>
      <c r="F26" s="10">
        <f>(B26+C26)*(2*$B$7+$D$20*$B$9)+D26*($B$12+$G$20*$B$13+$H$20*$B$14)</f>
        <v>384.2</v>
      </c>
    </row>
    <row r="27" spans="1:9" ht="24" customHeight="1" x14ac:dyDescent="0.3">
      <c r="A27" t="s">
        <v>23</v>
      </c>
      <c r="B27" s="18">
        <v>4</v>
      </c>
      <c r="C27" s="18">
        <v>1</v>
      </c>
      <c r="D27" s="18">
        <v>1</v>
      </c>
      <c r="E27">
        <v>21</v>
      </c>
      <c r="F27" s="10">
        <f>(B27+C27)*(2*$B$7+$D$21*$B$9)+D27*($B$12+$G$21*$B$13+$H$21*$B$14)</f>
        <v>688.4</v>
      </c>
    </row>
  </sheetData>
  <mergeCells count="4">
    <mergeCell ref="A17:I17"/>
    <mergeCell ref="A1:I2"/>
    <mergeCell ref="B4:I4"/>
    <mergeCell ref="A23:F23"/>
  </mergeCells>
  <phoneticPr fontId="8" type="noConversion"/>
  <pageMargins left="0.3" right="0.3" top="0.5" bottom="0.5" header="0.5" footer="0.5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1"/>
  <sheetViews>
    <sheetView showGridLines="0" workbookViewId="0">
      <pane ySplit="7" topLeftCell="A8" activePane="bottomLeft" state="frozen"/>
      <selection pane="bottomLeft"/>
    </sheetView>
  </sheetViews>
  <sheetFormatPr defaultRowHeight="14.15" x14ac:dyDescent="0.3"/>
  <cols>
    <col min="1" max="1" width="8" style="8" customWidth="1"/>
    <col min="2" max="2" width="14" style="8" customWidth="1"/>
    <col min="3" max="3" width="31" style="8" customWidth="1"/>
    <col min="4" max="4" width="13" style="8" customWidth="1"/>
    <col min="5" max="5" width="14" style="8" customWidth="1"/>
    <col min="6" max="6" width="17" style="8" customWidth="1"/>
    <col min="7" max="7" width="11" style="8" customWidth="1"/>
    <col min="8" max="8" width="17" style="8" customWidth="1"/>
    <col min="9" max="9" width="53" style="8" customWidth="1"/>
    <col min="10" max="10" width="12" style="8" customWidth="1"/>
    <col min="12" max="12" width="16" style="8" customWidth="1"/>
    <col min="13" max="13" width="18" style="8" customWidth="1"/>
  </cols>
  <sheetData>
    <row r="1" spans="1:13" ht="26.05" customHeight="1" x14ac:dyDescent="0.3">
      <c r="A1" s="26" t="s">
        <v>186</v>
      </c>
      <c r="B1" s="24"/>
      <c r="C1" s="24"/>
      <c r="D1" s="24"/>
      <c r="E1" s="24"/>
      <c r="F1" s="24"/>
      <c r="G1" s="24"/>
      <c r="H1" s="24"/>
      <c r="I1" s="24"/>
      <c r="J1" s="24"/>
    </row>
    <row r="2" spans="1:13" ht="12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</row>
    <row r="4" spans="1:13" ht="14.6" customHeight="1" x14ac:dyDescent="0.35">
      <c r="A4" s="1" t="s">
        <v>187</v>
      </c>
      <c r="B4" s="23" t="s">
        <v>188</v>
      </c>
      <c r="C4" s="24"/>
      <c r="D4" s="24"/>
      <c r="E4" s="24"/>
      <c r="F4" s="24"/>
      <c r="G4" s="24"/>
      <c r="H4" s="24"/>
      <c r="I4" s="24"/>
      <c r="J4" s="24"/>
    </row>
    <row r="5" spans="1:13" ht="14.6" customHeight="1" x14ac:dyDescent="0.35">
      <c r="A5" s="1" t="s">
        <v>189</v>
      </c>
      <c r="B5" s="23" t="s">
        <v>190</v>
      </c>
      <c r="C5" s="24"/>
      <c r="D5" s="24"/>
      <c r="E5" s="24"/>
      <c r="F5" s="24"/>
      <c r="G5" s="24"/>
      <c r="H5" s="24"/>
      <c r="I5" s="24"/>
      <c r="J5" s="24"/>
    </row>
    <row r="7" spans="1:13" x14ac:dyDescent="0.3">
      <c r="A7" s="2" t="s">
        <v>191</v>
      </c>
      <c r="B7" s="2" t="s">
        <v>192</v>
      </c>
      <c r="C7" s="2" t="s">
        <v>193</v>
      </c>
      <c r="D7" s="2" t="s">
        <v>37</v>
      </c>
      <c r="E7" s="2" t="s">
        <v>194</v>
      </c>
      <c r="F7" s="2" t="s">
        <v>195</v>
      </c>
      <c r="G7" s="2" t="s">
        <v>196</v>
      </c>
      <c r="H7" s="2" t="s">
        <v>197</v>
      </c>
      <c r="I7" s="2" t="s">
        <v>198</v>
      </c>
      <c r="J7" s="2" t="s">
        <v>32</v>
      </c>
      <c r="L7" s="2" t="s">
        <v>199</v>
      </c>
      <c r="M7" s="2" t="s">
        <v>200</v>
      </c>
    </row>
    <row r="8" spans="1:13" x14ac:dyDescent="0.3">
      <c r="A8" s="3">
        <v>1</v>
      </c>
      <c r="B8" s="3" t="s">
        <v>9</v>
      </c>
      <c r="C8" s="3" t="s">
        <v>201</v>
      </c>
      <c r="D8" s="3" t="s">
        <v>202</v>
      </c>
      <c r="E8" s="4">
        <v>12</v>
      </c>
      <c r="F8" s="4">
        <v>12</v>
      </c>
      <c r="G8" s="4">
        <v>1</v>
      </c>
      <c r="H8" s="9">
        <f t="shared" ref="H8:H27" si="0">E8*F8*G8</f>
        <v>144</v>
      </c>
      <c r="I8" s="3" t="s">
        <v>203</v>
      </c>
      <c r="J8" s="3" t="s">
        <v>51</v>
      </c>
      <c r="L8" s="3" t="s">
        <v>9</v>
      </c>
      <c r="M8" s="9">
        <f>SUMIF($B$8:$B$27,L8,$H$8:$H$27)</f>
        <v>634</v>
      </c>
    </row>
    <row r="9" spans="1:13" x14ac:dyDescent="0.3">
      <c r="A9" s="3">
        <v>2</v>
      </c>
      <c r="B9" s="3" t="s">
        <v>9</v>
      </c>
      <c r="C9" s="3" t="s">
        <v>204</v>
      </c>
      <c r="D9" s="3" t="s">
        <v>205</v>
      </c>
      <c r="E9" s="4">
        <v>11</v>
      </c>
      <c r="F9" s="4">
        <v>20</v>
      </c>
      <c r="G9" s="4">
        <v>1</v>
      </c>
      <c r="H9" s="9">
        <f t="shared" si="0"/>
        <v>220</v>
      </c>
      <c r="I9" s="3" t="s">
        <v>206</v>
      </c>
      <c r="J9" s="3" t="s">
        <v>51</v>
      </c>
      <c r="L9" s="3" t="s">
        <v>10</v>
      </c>
      <c r="M9" s="9">
        <f>SUMIF($B$8:$B$27,L9,$H$8:$H$27)</f>
        <v>276</v>
      </c>
    </row>
    <row r="10" spans="1:13" x14ac:dyDescent="0.3">
      <c r="A10" s="3">
        <v>3</v>
      </c>
      <c r="B10" s="3" t="s">
        <v>9</v>
      </c>
      <c r="C10" s="3" t="s">
        <v>207</v>
      </c>
      <c r="D10" s="3" t="s">
        <v>202</v>
      </c>
      <c r="E10" s="4">
        <v>1</v>
      </c>
      <c r="F10" s="4">
        <v>110</v>
      </c>
      <c r="G10" s="4">
        <v>1</v>
      </c>
      <c r="H10" s="9">
        <f t="shared" si="0"/>
        <v>110</v>
      </c>
      <c r="I10" s="3" t="s">
        <v>208</v>
      </c>
      <c r="J10" s="3" t="s">
        <v>51</v>
      </c>
      <c r="L10" s="3" t="s">
        <v>11</v>
      </c>
      <c r="M10" s="9">
        <f>SUMIF($B$8:$B$27,L10,$H$8:$H$27)</f>
        <v>150</v>
      </c>
    </row>
    <row r="11" spans="1:13" x14ac:dyDescent="0.3">
      <c r="A11" s="3">
        <v>4</v>
      </c>
      <c r="B11" s="3" t="s">
        <v>9</v>
      </c>
      <c r="C11" s="3" t="s">
        <v>209</v>
      </c>
      <c r="D11" s="3" t="s">
        <v>202</v>
      </c>
      <c r="E11" s="4">
        <v>1</v>
      </c>
      <c r="F11" s="4">
        <v>80</v>
      </c>
      <c r="G11" s="4">
        <v>1</v>
      </c>
      <c r="H11" s="9">
        <f t="shared" si="0"/>
        <v>80</v>
      </c>
      <c r="I11" s="3" t="s">
        <v>210</v>
      </c>
      <c r="J11" s="3" t="s">
        <v>70</v>
      </c>
      <c r="L11" s="3" t="s">
        <v>12</v>
      </c>
      <c r="M11" s="9">
        <f>SUMIF($B$8:$B$27,L11,$H$8:$H$27)</f>
        <v>1290.2</v>
      </c>
    </row>
    <row r="12" spans="1:13" x14ac:dyDescent="0.3">
      <c r="A12" s="3">
        <v>5</v>
      </c>
      <c r="B12" s="3" t="s">
        <v>9</v>
      </c>
      <c r="C12" s="3" t="s">
        <v>211</v>
      </c>
      <c r="D12" s="3" t="s">
        <v>202</v>
      </c>
      <c r="E12" s="4">
        <v>2</v>
      </c>
      <c r="F12" s="4">
        <v>40</v>
      </c>
      <c r="G12" s="4">
        <v>1</v>
      </c>
      <c r="H12" s="9">
        <f t="shared" si="0"/>
        <v>80</v>
      </c>
      <c r="I12" s="3" t="s">
        <v>212</v>
      </c>
      <c r="J12" s="3" t="s">
        <v>70</v>
      </c>
    </row>
    <row r="13" spans="1:13" x14ac:dyDescent="0.3">
      <c r="A13" s="3">
        <v>6</v>
      </c>
      <c r="B13" s="3" t="s">
        <v>10</v>
      </c>
      <c r="C13" s="3" t="s">
        <v>213</v>
      </c>
      <c r="D13" s="3" t="s">
        <v>214</v>
      </c>
      <c r="E13" s="3">
        <f>算力模型!B17</f>
        <v>8000</v>
      </c>
      <c r="F13" s="3">
        <f>算力模型!$B$12</f>
        <v>1.5E-3</v>
      </c>
      <c r="G13" s="3">
        <f>算力模型!H17</f>
        <v>3</v>
      </c>
      <c r="H13" s="9">
        <f t="shared" si="0"/>
        <v>36</v>
      </c>
      <c r="I13" s="3" t="s">
        <v>215</v>
      </c>
      <c r="J13" s="3" t="s">
        <v>63</v>
      </c>
    </row>
    <row r="14" spans="1:13" x14ac:dyDescent="0.3">
      <c r="A14" s="3">
        <v>7</v>
      </c>
      <c r="B14" s="3" t="s">
        <v>10</v>
      </c>
      <c r="C14" s="3" t="s">
        <v>216</v>
      </c>
      <c r="D14" s="3" t="s">
        <v>41</v>
      </c>
      <c r="E14" s="4">
        <v>1</v>
      </c>
      <c r="F14" s="3">
        <f>算力模型!D17</f>
        <v>40</v>
      </c>
      <c r="G14" s="3">
        <f>算力模型!H17</f>
        <v>3</v>
      </c>
      <c r="H14" s="9">
        <f t="shared" si="0"/>
        <v>120</v>
      </c>
      <c r="I14" s="3" t="s">
        <v>217</v>
      </c>
      <c r="J14" s="3" t="s">
        <v>39</v>
      </c>
    </row>
    <row r="15" spans="1:13" x14ac:dyDescent="0.3">
      <c r="A15" s="3">
        <v>8</v>
      </c>
      <c r="B15" s="3" t="s">
        <v>10</v>
      </c>
      <c r="C15" s="3" t="s">
        <v>218</v>
      </c>
      <c r="D15" s="3" t="s">
        <v>41</v>
      </c>
      <c r="E15" s="4">
        <v>1</v>
      </c>
      <c r="F15" s="3">
        <f>算力模型!E17</f>
        <v>40</v>
      </c>
      <c r="G15" s="3">
        <f>算力模型!H17</f>
        <v>3</v>
      </c>
      <c r="H15" s="9">
        <f t="shared" si="0"/>
        <v>120</v>
      </c>
      <c r="I15" s="3" t="s">
        <v>219</v>
      </c>
      <c r="J15" s="3" t="s">
        <v>39</v>
      </c>
    </row>
    <row r="16" spans="1:13" x14ac:dyDescent="0.3">
      <c r="A16" s="3">
        <v>9</v>
      </c>
      <c r="B16" s="3" t="s">
        <v>11</v>
      </c>
      <c r="C16" s="3" t="s">
        <v>220</v>
      </c>
      <c r="D16" s="3" t="s">
        <v>221</v>
      </c>
      <c r="E16" s="4">
        <v>1</v>
      </c>
      <c r="F16" s="4">
        <v>50</v>
      </c>
      <c r="G16" s="4">
        <v>1</v>
      </c>
      <c r="H16" s="9">
        <f t="shared" si="0"/>
        <v>50</v>
      </c>
      <c r="I16" s="3" t="s">
        <v>222</v>
      </c>
      <c r="J16" s="3" t="s">
        <v>81</v>
      </c>
    </row>
    <row r="17" spans="1:10" x14ac:dyDescent="0.3">
      <c r="A17" s="3">
        <v>10</v>
      </c>
      <c r="B17" s="3" t="s">
        <v>11</v>
      </c>
      <c r="C17" s="3" t="s">
        <v>223</v>
      </c>
      <c r="D17" s="3" t="s">
        <v>221</v>
      </c>
      <c r="E17" s="4">
        <v>1</v>
      </c>
      <c r="F17" s="4">
        <v>30</v>
      </c>
      <c r="G17" s="4">
        <v>1</v>
      </c>
      <c r="H17" s="9">
        <f t="shared" si="0"/>
        <v>30</v>
      </c>
      <c r="I17" s="3" t="s">
        <v>224</v>
      </c>
      <c r="J17" s="3" t="s">
        <v>81</v>
      </c>
    </row>
    <row r="18" spans="1:10" x14ac:dyDescent="0.3">
      <c r="A18" s="3">
        <v>11</v>
      </c>
      <c r="B18" s="3" t="s">
        <v>11</v>
      </c>
      <c r="C18" s="3" t="s">
        <v>225</v>
      </c>
      <c r="D18" s="3" t="s">
        <v>221</v>
      </c>
      <c r="E18" s="4">
        <v>1</v>
      </c>
      <c r="F18" s="4">
        <v>30</v>
      </c>
      <c r="G18" s="4">
        <v>1</v>
      </c>
      <c r="H18" s="9">
        <f t="shared" si="0"/>
        <v>30</v>
      </c>
      <c r="I18" s="3" t="s">
        <v>226</v>
      </c>
      <c r="J18" s="3" t="s">
        <v>81</v>
      </c>
    </row>
    <row r="19" spans="1:10" x14ac:dyDescent="0.3">
      <c r="A19" s="3">
        <v>12</v>
      </c>
      <c r="B19" s="3" t="s">
        <v>11</v>
      </c>
      <c r="C19" s="3" t="s">
        <v>227</v>
      </c>
      <c r="D19" s="3" t="s">
        <v>221</v>
      </c>
      <c r="E19" s="4">
        <v>1</v>
      </c>
      <c r="F19" s="4">
        <v>40</v>
      </c>
      <c r="G19" s="4">
        <v>1</v>
      </c>
      <c r="H19" s="9">
        <f t="shared" si="0"/>
        <v>40</v>
      </c>
      <c r="I19" s="3" t="s">
        <v>228</v>
      </c>
      <c r="J19" s="3" t="s">
        <v>81</v>
      </c>
    </row>
    <row r="20" spans="1:10" x14ac:dyDescent="0.3">
      <c r="A20" s="3">
        <v>13</v>
      </c>
      <c r="B20" s="3" t="s">
        <v>12</v>
      </c>
      <c r="C20" s="3" t="s">
        <v>151</v>
      </c>
      <c r="D20" s="3" t="s">
        <v>229</v>
      </c>
      <c r="E20" s="3">
        <f>人力模型!C7</f>
        <v>10</v>
      </c>
      <c r="F20" s="3">
        <f>人力模型!$B$7</f>
        <v>40</v>
      </c>
      <c r="G20" s="4">
        <v>1</v>
      </c>
      <c r="H20" s="9">
        <f t="shared" si="0"/>
        <v>400</v>
      </c>
      <c r="I20" s="3" t="s">
        <v>152</v>
      </c>
      <c r="J20" s="3" t="s">
        <v>66</v>
      </c>
    </row>
    <row r="21" spans="1:10" x14ac:dyDescent="0.3">
      <c r="A21" s="3">
        <v>14</v>
      </c>
      <c r="B21" s="3" t="s">
        <v>12</v>
      </c>
      <c r="C21" s="3" t="s">
        <v>153</v>
      </c>
      <c r="D21" s="3" t="s">
        <v>229</v>
      </c>
      <c r="E21" s="3">
        <f>人力模型!C8</f>
        <v>10</v>
      </c>
      <c r="F21" s="3">
        <f>人力模型!$B$8</f>
        <v>40</v>
      </c>
      <c r="G21" s="4">
        <v>1</v>
      </c>
      <c r="H21" s="9">
        <f t="shared" si="0"/>
        <v>400</v>
      </c>
      <c r="I21" s="3" t="s">
        <v>154</v>
      </c>
      <c r="J21" s="3" t="s">
        <v>66</v>
      </c>
    </row>
    <row r="22" spans="1:10" x14ac:dyDescent="0.3">
      <c r="A22" s="3">
        <v>15</v>
      </c>
      <c r="B22" s="3" t="s">
        <v>12</v>
      </c>
      <c r="C22" s="3" t="s">
        <v>155</v>
      </c>
      <c r="D22" s="3" t="s">
        <v>229</v>
      </c>
      <c r="E22" s="3">
        <f>人力模型!C9</f>
        <v>40</v>
      </c>
      <c r="F22" s="3">
        <f>人力模型!$B$9</f>
        <v>4.8000000000000007</v>
      </c>
      <c r="G22" s="4">
        <v>1</v>
      </c>
      <c r="H22" s="9">
        <f t="shared" si="0"/>
        <v>192.00000000000003</v>
      </c>
      <c r="I22" s="3" t="s">
        <v>156</v>
      </c>
      <c r="J22" s="3" t="s">
        <v>66</v>
      </c>
    </row>
    <row r="23" spans="1:10" x14ac:dyDescent="0.3">
      <c r="A23" s="3">
        <v>16</v>
      </c>
      <c r="B23" s="3" t="s">
        <v>12</v>
      </c>
      <c r="C23" s="3" t="s">
        <v>157</v>
      </c>
      <c r="D23" s="3" t="s">
        <v>229</v>
      </c>
      <c r="E23" s="3">
        <f>人力模型!C10</f>
        <v>3</v>
      </c>
      <c r="F23" s="3">
        <f>人力模型!$B$10</f>
        <v>40</v>
      </c>
      <c r="G23" s="4">
        <v>1</v>
      </c>
      <c r="H23" s="9">
        <f t="shared" si="0"/>
        <v>120</v>
      </c>
      <c r="I23" s="3" t="s">
        <v>158</v>
      </c>
      <c r="J23" s="3" t="s">
        <v>66</v>
      </c>
    </row>
    <row r="24" spans="1:10" x14ac:dyDescent="0.3">
      <c r="A24" s="3">
        <v>17</v>
      </c>
      <c r="B24" s="3" t="s">
        <v>12</v>
      </c>
      <c r="C24" s="3" t="s">
        <v>159</v>
      </c>
      <c r="D24" s="3" t="s">
        <v>229</v>
      </c>
      <c r="E24" s="3">
        <f>人力模型!C11</f>
        <v>6</v>
      </c>
      <c r="F24" s="3">
        <f>人力模型!$B$11</f>
        <v>4.8000000000000007</v>
      </c>
      <c r="G24" s="4">
        <v>1</v>
      </c>
      <c r="H24" s="9">
        <f t="shared" si="0"/>
        <v>28.800000000000004</v>
      </c>
      <c r="I24" s="3" t="s">
        <v>160</v>
      </c>
      <c r="J24" s="3" t="s">
        <v>66</v>
      </c>
    </row>
    <row r="25" spans="1:10" x14ac:dyDescent="0.3">
      <c r="A25" s="3">
        <v>18</v>
      </c>
      <c r="B25" s="3" t="s">
        <v>12</v>
      </c>
      <c r="C25" s="3" t="s">
        <v>161</v>
      </c>
      <c r="D25" s="3" t="s">
        <v>229</v>
      </c>
      <c r="E25" s="3">
        <f>人力模型!C12</f>
        <v>1.5</v>
      </c>
      <c r="F25" s="3">
        <f>人力模型!$B$12</f>
        <v>50</v>
      </c>
      <c r="G25" s="4">
        <v>1</v>
      </c>
      <c r="H25" s="9">
        <f t="shared" si="0"/>
        <v>75</v>
      </c>
      <c r="I25" s="3" t="s">
        <v>162</v>
      </c>
      <c r="J25" s="3" t="s">
        <v>66</v>
      </c>
    </row>
    <row r="26" spans="1:10" x14ac:dyDescent="0.3">
      <c r="A26" s="3">
        <v>19</v>
      </c>
      <c r="B26" s="3" t="s">
        <v>12</v>
      </c>
      <c r="C26" s="3" t="s">
        <v>163</v>
      </c>
      <c r="D26" s="3" t="s">
        <v>229</v>
      </c>
      <c r="E26" s="3">
        <f>人力模型!C13</f>
        <v>1.5</v>
      </c>
      <c r="F26" s="3">
        <f>人力模型!$B$13</f>
        <v>40</v>
      </c>
      <c r="G26" s="4">
        <v>1</v>
      </c>
      <c r="H26" s="9">
        <f t="shared" si="0"/>
        <v>60</v>
      </c>
      <c r="I26" s="3" t="s">
        <v>164</v>
      </c>
      <c r="J26" s="3" t="s">
        <v>66</v>
      </c>
    </row>
    <row r="27" spans="1:10" x14ac:dyDescent="0.3">
      <c r="A27" s="3">
        <v>20</v>
      </c>
      <c r="B27" s="3" t="s">
        <v>12</v>
      </c>
      <c r="C27" s="3" t="s">
        <v>165</v>
      </c>
      <c r="D27" s="3" t="s">
        <v>229</v>
      </c>
      <c r="E27" s="3">
        <f>人力模型!C14</f>
        <v>3</v>
      </c>
      <c r="F27" s="3">
        <f>人力模型!$B$14</f>
        <v>4.8000000000000007</v>
      </c>
      <c r="G27" s="4">
        <v>1</v>
      </c>
      <c r="H27" s="9">
        <f t="shared" si="0"/>
        <v>14.400000000000002</v>
      </c>
      <c r="I27" s="3" t="s">
        <v>166</v>
      </c>
      <c r="J27" s="3" t="s">
        <v>66</v>
      </c>
    </row>
    <row r="29" spans="1:10" ht="14.6" customHeight="1" x14ac:dyDescent="0.35">
      <c r="G29" s="6" t="s">
        <v>230</v>
      </c>
      <c r="H29" s="19">
        <f>SUM(H8:H27)</f>
        <v>2350.2000000000003</v>
      </c>
    </row>
    <row r="30" spans="1:10" ht="14.6" customHeight="1" x14ac:dyDescent="0.35">
      <c r="G30" s="6" t="s">
        <v>13</v>
      </c>
      <c r="H30" s="19">
        <f>H29*假设与口径!$C$12</f>
        <v>352.53000000000003</v>
      </c>
    </row>
    <row r="31" spans="1:10" ht="14.6" customHeight="1" x14ac:dyDescent="0.35">
      <c r="G31" s="7" t="s">
        <v>231</v>
      </c>
      <c r="H31" s="20">
        <f>H29+H30</f>
        <v>2702.7300000000005</v>
      </c>
    </row>
  </sheetData>
  <autoFilter ref="A7:J27" xr:uid="{00000000-0009-0000-0000-000004000000}"/>
  <mergeCells count="3">
    <mergeCell ref="A1:J2"/>
    <mergeCell ref="B5:J5"/>
    <mergeCell ref="B4:J4"/>
  </mergeCells>
  <phoneticPr fontId="8" type="noConversion"/>
  <pageMargins left="0.3" right="0.3" top="0.5" bottom="0.5" header="0.5" footer="0.5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showGridLines="0" workbookViewId="0">
      <pane ySplit="7" topLeftCell="A8" activePane="bottomLeft" state="frozen"/>
      <selection pane="bottomLeft"/>
    </sheetView>
  </sheetViews>
  <sheetFormatPr defaultRowHeight="14.15" x14ac:dyDescent="0.3"/>
  <cols>
    <col min="1" max="1" width="8" style="8" customWidth="1"/>
    <col min="2" max="2" width="14" style="8" customWidth="1"/>
    <col min="3" max="3" width="31" style="8" customWidth="1"/>
    <col min="4" max="4" width="13" style="8" customWidth="1"/>
    <col min="5" max="5" width="14" style="8" customWidth="1"/>
    <col min="6" max="6" width="17" style="8" customWidth="1"/>
    <col min="7" max="7" width="11" style="8" customWidth="1"/>
    <col min="8" max="8" width="17" style="8" customWidth="1"/>
    <col min="9" max="9" width="53" style="8" customWidth="1"/>
    <col min="10" max="10" width="12" style="8" customWidth="1"/>
    <col min="12" max="12" width="16" style="8" customWidth="1"/>
    <col min="13" max="13" width="18" style="8" customWidth="1"/>
  </cols>
  <sheetData>
    <row r="1" spans="1:13" ht="26.05" customHeight="1" x14ac:dyDescent="0.3">
      <c r="A1" s="26" t="s">
        <v>232</v>
      </c>
      <c r="B1" s="24"/>
      <c r="C1" s="24"/>
      <c r="D1" s="24"/>
      <c r="E1" s="24"/>
      <c r="F1" s="24"/>
      <c r="G1" s="24"/>
      <c r="H1" s="24"/>
      <c r="I1" s="24"/>
      <c r="J1" s="24"/>
    </row>
    <row r="2" spans="1:13" ht="12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</row>
    <row r="4" spans="1:13" ht="14.6" customHeight="1" x14ac:dyDescent="0.35">
      <c r="A4" s="1" t="s">
        <v>187</v>
      </c>
      <c r="B4" s="23" t="s">
        <v>233</v>
      </c>
      <c r="C4" s="24"/>
      <c r="D4" s="24"/>
      <c r="E4" s="24"/>
      <c r="F4" s="24"/>
      <c r="G4" s="24"/>
      <c r="H4" s="24"/>
      <c r="I4" s="24"/>
      <c r="J4" s="24"/>
    </row>
    <row r="5" spans="1:13" ht="14.6" customHeight="1" x14ac:dyDescent="0.35">
      <c r="A5" s="1" t="s">
        <v>189</v>
      </c>
      <c r="B5" s="23" t="s">
        <v>190</v>
      </c>
      <c r="C5" s="24"/>
      <c r="D5" s="24"/>
      <c r="E5" s="24"/>
      <c r="F5" s="24"/>
      <c r="G5" s="24"/>
      <c r="H5" s="24"/>
      <c r="I5" s="24"/>
      <c r="J5" s="24"/>
    </row>
    <row r="7" spans="1:13" x14ac:dyDescent="0.3">
      <c r="A7" s="2" t="s">
        <v>191</v>
      </c>
      <c r="B7" s="2" t="s">
        <v>192</v>
      </c>
      <c r="C7" s="2" t="s">
        <v>193</v>
      </c>
      <c r="D7" s="2" t="s">
        <v>37</v>
      </c>
      <c r="E7" s="2" t="s">
        <v>194</v>
      </c>
      <c r="F7" s="2" t="s">
        <v>195</v>
      </c>
      <c r="G7" s="2" t="s">
        <v>196</v>
      </c>
      <c r="H7" s="2" t="s">
        <v>197</v>
      </c>
      <c r="I7" s="2" t="s">
        <v>198</v>
      </c>
      <c r="J7" s="2" t="s">
        <v>32</v>
      </c>
      <c r="L7" s="2" t="s">
        <v>199</v>
      </c>
      <c r="M7" s="2" t="s">
        <v>200</v>
      </c>
    </row>
    <row r="8" spans="1:13" x14ac:dyDescent="0.3">
      <c r="A8" s="3">
        <v>1</v>
      </c>
      <c r="B8" s="3" t="s">
        <v>9</v>
      </c>
      <c r="C8" s="3" t="s">
        <v>234</v>
      </c>
      <c r="D8" s="3" t="s">
        <v>202</v>
      </c>
      <c r="E8" s="4">
        <v>22</v>
      </c>
      <c r="F8" s="4">
        <v>15</v>
      </c>
      <c r="G8" s="4">
        <v>1</v>
      </c>
      <c r="H8" s="9">
        <f t="shared" ref="H8:H29" si="0">E8*F8*G8</f>
        <v>330</v>
      </c>
      <c r="I8" s="3" t="s">
        <v>235</v>
      </c>
      <c r="J8" s="3" t="s">
        <v>51</v>
      </c>
      <c r="L8" s="3" t="s">
        <v>9</v>
      </c>
      <c r="M8" s="9">
        <f>SUMIF($B$8:$B$29,L8,$H$8:$H$29)</f>
        <v>1965</v>
      </c>
    </row>
    <row r="9" spans="1:13" x14ac:dyDescent="0.3">
      <c r="A9" s="3">
        <v>2</v>
      </c>
      <c r="B9" s="3" t="s">
        <v>9</v>
      </c>
      <c r="C9" s="3" t="s">
        <v>236</v>
      </c>
      <c r="D9" s="3" t="s">
        <v>205</v>
      </c>
      <c r="E9" s="4">
        <v>11</v>
      </c>
      <c r="F9" s="4">
        <v>55</v>
      </c>
      <c r="G9" s="4">
        <v>1</v>
      </c>
      <c r="H9" s="9">
        <f t="shared" si="0"/>
        <v>605</v>
      </c>
      <c r="I9" s="3" t="s">
        <v>237</v>
      </c>
      <c r="J9" s="3" t="s">
        <v>51</v>
      </c>
      <c r="L9" s="3" t="s">
        <v>10</v>
      </c>
      <c r="M9" s="9">
        <f>SUMIF($B$8:$B$29,L9,$H$8:$H$29)</f>
        <v>984</v>
      </c>
    </row>
    <row r="10" spans="1:13" x14ac:dyDescent="0.3">
      <c r="A10" s="3">
        <v>3</v>
      </c>
      <c r="B10" s="3" t="s">
        <v>9</v>
      </c>
      <c r="C10" s="3" t="s">
        <v>238</v>
      </c>
      <c r="D10" s="3" t="s">
        <v>239</v>
      </c>
      <c r="E10" s="4">
        <v>2</v>
      </c>
      <c r="F10" s="4">
        <v>150</v>
      </c>
      <c r="G10" s="4">
        <v>1</v>
      </c>
      <c r="H10" s="9">
        <f t="shared" si="0"/>
        <v>300</v>
      </c>
      <c r="I10" s="3" t="s">
        <v>240</v>
      </c>
      <c r="J10" s="3" t="s">
        <v>51</v>
      </c>
      <c r="L10" s="3" t="s">
        <v>11</v>
      </c>
      <c r="M10" s="9">
        <f>SUMIF($B$8:$B$29,L10,$H$8:$H$29)</f>
        <v>450</v>
      </c>
    </row>
    <row r="11" spans="1:13" x14ac:dyDescent="0.3">
      <c r="A11" s="3">
        <v>4</v>
      </c>
      <c r="B11" s="3" t="s">
        <v>9</v>
      </c>
      <c r="C11" s="3" t="s">
        <v>209</v>
      </c>
      <c r="D11" s="3" t="s">
        <v>202</v>
      </c>
      <c r="E11" s="4">
        <v>1</v>
      </c>
      <c r="F11" s="4">
        <v>180</v>
      </c>
      <c r="G11" s="4">
        <v>1</v>
      </c>
      <c r="H11" s="9">
        <f t="shared" si="0"/>
        <v>180</v>
      </c>
      <c r="I11" s="3" t="s">
        <v>241</v>
      </c>
      <c r="J11" s="3" t="s">
        <v>70</v>
      </c>
      <c r="L11" s="3" t="s">
        <v>12</v>
      </c>
      <c r="M11" s="9">
        <f>SUMIF($B$8:$B$29,L11,$H$8:$H$29)</f>
        <v>2649</v>
      </c>
    </row>
    <row r="12" spans="1:13" x14ac:dyDescent="0.3">
      <c r="A12" s="3">
        <v>5</v>
      </c>
      <c r="B12" s="3" t="s">
        <v>9</v>
      </c>
      <c r="C12" s="3" t="s">
        <v>242</v>
      </c>
      <c r="D12" s="3" t="s">
        <v>202</v>
      </c>
      <c r="E12" s="4">
        <v>10</v>
      </c>
      <c r="F12" s="4">
        <v>25</v>
      </c>
      <c r="G12" s="4">
        <v>1</v>
      </c>
      <c r="H12" s="9">
        <f t="shared" si="0"/>
        <v>250</v>
      </c>
      <c r="I12" s="3" t="s">
        <v>243</v>
      </c>
      <c r="J12" s="3" t="s">
        <v>70</v>
      </c>
    </row>
    <row r="13" spans="1:13" x14ac:dyDescent="0.3">
      <c r="A13" s="3">
        <v>6</v>
      </c>
      <c r="B13" s="3" t="s">
        <v>9</v>
      </c>
      <c r="C13" s="3" t="s">
        <v>244</v>
      </c>
      <c r="D13" s="3" t="s">
        <v>202</v>
      </c>
      <c r="E13" s="4">
        <v>10</v>
      </c>
      <c r="F13" s="4">
        <v>30</v>
      </c>
      <c r="G13" s="4">
        <v>1</v>
      </c>
      <c r="H13" s="9">
        <f t="shared" si="0"/>
        <v>300</v>
      </c>
      <c r="I13" s="3" t="s">
        <v>245</v>
      </c>
      <c r="J13" s="3" t="s">
        <v>70</v>
      </c>
    </row>
    <row r="14" spans="1:13" x14ac:dyDescent="0.3">
      <c r="A14" s="3">
        <v>7</v>
      </c>
      <c r="B14" s="3" t="s">
        <v>10</v>
      </c>
      <c r="C14" s="3" t="s">
        <v>246</v>
      </c>
      <c r="D14" s="3" t="s">
        <v>214</v>
      </c>
      <c r="E14" s="3">
        <f>算力模型!B18</f>
        <v>24000</v>
      </c>
      <c r="F14" s="3">
        <f>算力模型!$B$12</f>
        <v>1.5E-3</v>
      </c>
      <c r="G14" s="3">
        <f>算力模型!H18</f>
        <v>3</v>
      </c>
      <c r="H14" s="9">
        <f t="shared" si="0"/>
        <v>108</v>
      </c>
      <c r="I14" s="3" t="s">
        <v>247</v>
      </c>
      <c r="J14" s="3" t="s">
        <v>63</v>
      </c>
    </row>
    <row r="15" spans="1:13" x14ac:dyDescent="0.3">
      <c r="A15" s="3">
        <v>8</v>
      </c>
      <c r="B15" s="3" t="s">
        <v>10</v>
      </c>
      <c r="C15" s="3" t="s">
        <v>248</v>
      </c>
      <c r="D15" s="3" t="s">
        <v>214</v>
      </c>
      <c r="E15" s="3">
        <f>算力模型!C18</f>
        <v>16000</v>
      </c>
      <c r="F15" s="3">
        <f>算力模型!$B$11</f>
        <v>4.4999999999999997E-3</v>
      </c>
      <c r="G15" s="3">
        <f>算力模型!H18</f>
        <v>3</v>
      </c>
      <c r="H15" s="9">
        <f t="shared" si="0"/>
        <v>216</v>
      </c>
      <c r="I15" s="3" t="s">
        <v>249</v>
      </c>
      <c r="J15" s="3" t="s">
        <v>59</v>
      </c>
    </row>
    <row r="16" spans="1:13" x14ac:dyDescent="0.3">
      <c r="A16" s="3">
        <v>9</v>
      </c>
      <c r="B16" s="3" t="s">
        <v>10</v>
      </c>
      <c r="C16" s="3" t="s">
        <v>216</v>
      </c>
      <c r="D16" s="3" t="s">
        <v>41</v>
      </c>
      <c r="E16" s="4">
        <v>1</v>
      </c>
      <c r="F16" s="3">
        <f>算力模型!D18</f>
        <v>120</v>
      </c>
      <c r="G16" s="3">
        <f>算力模型!H18</f>
        <v>3</v>
      </c>
      <c r="H16" s="9">
        <f t="shared" si="0"/>
        <v>360</v>
      </c>
      <c r="I16" s="3" t="s">
        <v>250</v>
      </c>
      <c r="J16" s="3" t="s">
        <v>39</v>
      </c>
    </row>
    <row r="17" spans="1:10" x14ac:dyDescent="0.3">
      <c r="A17" s="3">
        <v>10</v>
      </c>
      <c r="B17" s="3" t="s">
        <v>10</v>
      </c>
      <c r="C17" s="3" t="s">
        <v>218</v>
      </c>
      <c r="D17" s="3" t="s">
        <v>41</v>
      </c>
      <c r="E17" s="4">
        <v>1</v>
      </c>
      <c r="F17" s="3">
        <f>算力模型!E18</f>
        <v>100</v>
      </c>
      <c r="G17" s="3">
        <f>算力模型!H18</f>
        <v>3</v>
      </c>
      <c r="H17" s="9">
        <f t="shared" si="0"/>
        <v>300</v>
      </c>
      <c r="I17" s="3" t="s">
        <v>251</v>
      </c>
      <c r="J17" s="3" t="s">
        <v>39</v>
      </c>
    </row>
    <row r="18" spans="1:10" x14ac:dyDescent="0.3">
      <c r="A18" s="3">
        <v>11</v>
      </c>
      <c r="B18" s="3" t="s">
        <v>11</v>
      </c>
      <c r="C18" s="3" t="s">
        <v>252</v>
      </c>
      <c r="D18" s="3" t="s">
        <v>221</v>
      </c>
      <c r="E18" s="4">
        <v>1</v>
      </c>
      <c r="F18" s="4">
        <v>120</v>
      </c>
      <c r="G18" s="4">
        <v>1</v>
      </c>
      <c r="H18" s="9">
        <f t="shared" si="0"/>
        <v>120</v>
      </c>
      <c r="I18" s="3" t="s">
        <v>253</v>
      </c>
      <c r="J18" s="3" t="s">
        <v>81</v>
      </c>
    </row>
    <row r="19" spans="1:10" x14ac:dyDescent="0.3">
      <c r="A19" s="3">
        <v>12</v>
      </c>
      <c r="B19" s="3" t="s">
        <v>11</v>
      </c>
      <c r="C19" s="3" t="s">
        <v>254</v>
      </c>
      <c r="D19" s="3" t="s">
        <v>221</v>
      </c>
      <c r="E19" s="4">
        <v>1</v>
      </c>
      <c r="F19" s="4">
        <v>100</v>
      </c>
      <c r="G19" s="4">
        <v>1</v>
      </c>
      <c r="H19" s="9">
        <f t="shared" si="0"/>
        <v>100</v>
      </c>
      <c r="I19" s="3" t="s">
        <v>255</v>
      </c>
      <c r="J19" s="3" t="s">
        <v>81</v>
      </c>
    </row>
    <row r="20" spans="1:10" x14ac:dyDescent="0.3">
      <c r="A20" s="3">
        <v>13</v>
      </c>
      <c r="B20" s="3" t="s">
        <v>11</v>
      </c>
      <c r="C20" s="3" t="s">
        <v>256</v>
      </c>
      <c r="D20" s="3" t="s">
        <v>221</v>
      </c>
      <c r="E20" s="4">
        <v>1</v>
      </c>
      <c r="F20" s="4">
        <v>100</v>
      </c>
      <c r="G20" s="4">
        <v>1</v>
      </c>
      <c r="H20" s="9">
        <f t="shared" si="0"/>
        <v>100</v>
      </c>
      <c r="I20" s="3" t="s">
        <v>257</v>
      </c>
      <c r="J20" s="3" t="s">
        <v>81</v>
      </c>
    </row>
    <row r="21" spans="1:10" x14ac:dyDescent="0.3">
      <c r="A21" s="3">
        <v>14</v>
      </c>
      <c r="B21" s="3" t="s">
        <v>11</v>
      </c>
      <c r="C21" s="3" t="s">
        <v>258</v>
      </c>
      <c r="D21" s="3" t="s">
        <v>221</v>
      </c>
      <c r="E21" s="4">
        <v>1</v>
      </c>
      <c r="F21" s="4">
        <v>130</v>
      </c>
      <c r="G21" s="4">
        <v>1</v>
      </c>
      <c r="H21" s="9">
        <f t="shared" si="0"/>
        <v>130</v>
      </c>
      <c r="I21" s="3" t="s">
        <v>259</v>
      </c>
      <c r="J21" s="3" t="s">
        <v>81</v>
      </c>
    </row>
    <row r="22" spans="1:10" x14ac:dyDescent="0.3">
      <c r="A22" s="3">
        <v>15</v>
      </c>
      <c r="B22" s="3" t="s">
        <v>12</v>
      </c>
      <c r="C22" s="3" t="s">
        <v>151</v>
      </c>
      <c r="D22" s="3" t="s">
        <v>229</v>
      </c>
      <c r="E22" s="3">
        <f>人力模型!D7</f>
        <v>20</v>
      </c>
      <c r="F22" s="3">
        <f>人力模型!$B$7</f>
        <v>40</v>
      </c>
      <c r="G22" s="4">
        <v>1</v>
      </c>
      <c r="H22" s="9">
        <f t="shared" si="0"/>
        <v>800</v>
      </c>
      <c r="I22" s="3" t="s">
        <v>152</v>
      </c>
      <c r="J22" s="3" t="s">
        <v>66</v>
      </c>
    </row>
    <row r="23" spans="1:10" x14ac:dyDescent="0.3">
      <c r="A23" s="3">
        <v>16</v>
      </c>
      <c r="B23" s="3" t="s">
        <v>12</v>
      </c>
      <c r="C23" s="3" t="s">
        <v>153</v>
      </c>
      <c r="D23" s="3" t="s">
        <v>229</v>
      </c>
      <c r="E23" s="3">
        <f>人力模型!D8</f>
        <v>20</v>
      </c>
      <c r="F23" s="3">
        <f>人力模型!$B$8</f>
        <v>40</v>
      </c>
      <c r="G23" s="4">
        <v>1</v>
      </c>
      <c r="H23" s="9">
        <f t="shared" si="0"/>
        <v>800</v>
      </c>
      <c r="I23" s="3" t="s">
        <v>154</v>
      </c>
      <c r="J23" s="3" t="s">
        <v>66</v>
      </c>
    </row>
    <row r="24" spans="1:10" x14ac:dyDescent="0.3">
      <c r="A24" s="3">
        <v>17</v>
      </c>
      <c r="B24" s="3" t="s">
        <v>12</v>
      </c>
      <c r="C24" s="3" t="s">
        <v>155</v>
      </c>
      <c r="D24" s="3" t="s">
        <v>229</v>
      </c>
      <c r="E24" s="3">
        <f>人力模型!D9</f>
        <v>100</v>
      </c>
      <c r="F24" s="3">
        <f>人力模型!$B$9</f>
        <v>4.8000000000000007</v>
      </c>
      <c r="G24" s="4">
        <v>1</v>
      </c>
      <c r="H24" s="9">
        <f t="shared" si="0"/>
        <v>480.00000000000006</v>
      </c>
      <c r="I24" s="3" t="s">
        <v>156</v>
      </c>
      <c r="J24" s="3" t="s">
        <v>66</v>
      </c>
    </row>
    <row r="25" spans="1:10" x14ac:dyDescent="0.3">
      <c r="A25" s="3">
        <v>18</v>
      </c>
      <c r="B25" s="3" t="s">
        <v>12</v>
      </c>
      <c r="C25" s="3" t="s">
        <v>157</v>
      </c>
      <c r="D25" s="3" t="s">
        <v>229</v>
      </c>
      <c r="E25" s="3">
        <f>人力模型!D10</f>
        <v>4</v>
      </c>
      <c r="F25" s="3">
        <f>人力模型!$B$10</f>
        <v>40</v>
      </c>
      <c r="G25" s="4">
        <v>1</v>
      </c>
      <c r="H25" s="9">
        <f t="shared" si="0"/>
        <v>160</v>
      </c>
      <c r="I25" s="3" t="s">
        <v>158</v>
      </c>
      <c r="J25" s="3" t="s">
        <v>66</v>
      </c>
    </row>
    <row r="26" spans="1:10" x14ac:dyDescent="0.3">
      <c r="A26" s="3">
        <v>19</v>
      </c>
      <c r="B26" s="3" t="s">
        <v>12</v>
      </c>
      <c r="C26" s="3" t="s">
        <v>159</v>
      </c>
      <c r="D26" s="3" t="s">
        <v>229</v>
      </c>
      <c r="E26" s="3">
        <f>人力模型!D11</f>
        <v>10</v>
      </c>
      <c r="F26" s="3">
        <f>人力模型!$B$11</f>
        <v>4.8000000000000007</v>
      </c>
      <c r="G26" s="4">
        <v>1</v>
      </c>
      <c r="H26" s="9">
        <f t="shared" si="0"/>
        <v>48.000000000000007</v>
      </c>
      <c r="I26" s="3" t="s">
        <v>160</v>
      </c>
      <c r="J26" s="3" t="s">
        <v>66</v>
      </c>
    </row>
    <row r="27" spans="1:10" x14ac:dyDescent="0.3">
      <c r="A27" s="3">
        <v>20</v>
      </c>
      <c r="B27" s="3" t="s">
        <v>12</v>
      </c>
      <c r="C27" s="3" t="s">
        <v>161</v>
      </c>
      <c r="D27" s="3" t="s">
        <v>229</v>
      </c>
      <c r="E27" s="3">
        <f>人力模型!D12</f>
        <v>2.5</v>
      </c>
      <c r="F27" s="3">
        <f>人力模型!$B$12</f>
        <v>50</v>
      </c>
      <c r="G27" s="4">
        <v>1</v>
      </c>
      <c r="H27" s="9">
        <f t="shared" si="0"/>
        <v>125</v>
      </c>
      <c r="I27" s="3" t="s">
        <v>162</v>
      </c>
      <c r="J27" s="3" t="s">
        <v>66</v>
      </c>
    </row>
    <row r="28" spans="1:10" x14ac:dyDescent="0.3">
      <c r="A28" s="3">
        <v>21</v>
      </c>
      <c r="B28" s="3" t="s">
        <v>12</v>
      </c>
      <c r="C28" s="3" t="s">
        <v>163</v>
      </c>
      <c r="D28" s="3" t="s">
        <v>229</v>
      </c>
      <c r="E28" s="3">
        <f>人力模型!D13</f>
        <v>5</v>
      </c>
      <c r="F28" s="3">
        <f>人力模型!$B$13</f>
        <v>40</v>
      </c>
      <c r="G28" s="4">
        <v>1</v>
      </c>
      <c r="H28" s="9">
        <f t="shared" si="0"/>
        <v>200</v>
      </c>
      <c r="I28" s="3" t="s">
        <v>164</v>
      </c>
      <c r="J28" s="3" t="s">
        <v>66</v>
      </c>
    </row>
    <row r="29" spans="1:10" x14ac:dyDescent="0.3">
      <c r="A29" s="3">
        <v>22</v>
      </c>
      <c r="B29" s="3" t="s">
        <v>12</v>
      </c>
      <c r="C29" s="3" t="s">
        <v>165</v>
      </c>
      <c r="D29" s="3" t="s">
        <v>229</v>
      </c>
      <c r="E29" s="3">
        <f>人力模型!D14</f>
        <v>7.5</v>
      </c>
      <c r="F29" s="3">
        <f>人力模型!$B$14</f>
        <v>4.8000000000000007</v>
      </c>
      <c r="G29" s="4">
        <v>1</v>
      </c>
      <c r="H29" s="9">
        <f t="shared" si="0"/>
        <v>36.000000000000007</v>
      </c>
      <c r="I29" s="3" t="s">
        <v>166</v>
      </c>
      <c r="J29" s="3" t="s">
        <v>66</v>
      </c>
    </row>
    <row r="31" spans="1:10" ht="14.6" customHeight="1" x14ac:dyDescent="0.35">
      <c r="G31" s="6" t="s">
        <v>230</v>
      </c>
      <c r="H31" s="19">
        <f>SUM(H8:H29)</f>
        <v>6048</v>
      </c>
    </row>
    <row r="32" spans="1:10" ht="14.6" customHeight="1" x14ac:dyDescent="0.35">
      <c r="G32" s="6" t="s">
        <v>13</v>
      </c>
      <c r="H32" s="19">
        <f>H31*假设与口径!$C$21</f>
        <v>907.19999999999993</v>
      </c>
    </row>
    <row r="33" spans="7:8" ht="14.6" customHeight="1" x14ac:dyDescent="0.35">
      <c r="G33" s="7" t="s">
        <v>231</v>
      </c>
      <c r="H33" s="20">
        <f>H31+H32</f>
        <v>6955.2</v>
      </c>
    </row>
  </sheetData>
  <autoFilter ref="A7:J29" xr:uid="{00000000-0009-0000-0000-000005000000}"/>
  <mergeCells count="3">
    <mergeCell ref="A1:J2"/>
    <mergeCell ref="B5:J5"/>
    <mergeCell ref="B4:J4"/>
  </mergeCells>
  <phoneticPr fontId="8" type="noConversion"/>
  <pageMargins left="0.3" right="0.3" top="0.5" bottom="0.5" header="0.5" footer="0.5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6"/>
  <sheetViews>
    <sheetView showGridLines="0" workbookViewId="0">
      <pane ySplit="7" topLeftCell="A8" activePane="bottomLeft" state="frozen"/>
      <selection pane="bottomLeft"/>
    </sheetView>
  </sheetViews>
  <sheetFormatPr defaultRowHeight="14.15" x14ac:dyDescent="0.3"/>
  <cols>
    <col min="1" max="1" width="8" style="8" customWidth="1"/>
    <col min="2" max="2" width="14" style="8" customWidth="1"/>
    <col min="3" max="3" width="31" style="8" customWidth="1"/>
    <col min="4" max="4" width="13" style="8" customWidth="1"/>
    <col min="5" max="5" width="14" style="8" customWidth="1"/>
    <col min="6" max="6" width="17" style="8" customWidth="1"/>
    <col min="7" max="7" width="11" style="8" customWidth="1"/>
    <col min="8" max="8" width="17" style="8" customWidth="1"/>
    <col min="9" max="9" width="53" style="8" customWidth="1"/>
    <col min="10" max="10" width="12" style="8" customWidth="1"/>
    <col min="12" max="12" width="16" style="8" customWidth="1"/>
    <col min="13" max="13" width="18" style="8" customWidth="1"/>
  </cols>
  <sheetData>
    <row r="1" spans="1:13" ht="26.05" customHeight="1" x14ac:dyDescent="0.3">
      <c r="A1" s="26" t="s">
        <v>260</v>
      </c>
      <c r="B1" s="24"/>
      <c r="C1" s="24"/>
      <c r="D1" s="24"/>
      <c r="E1" s="24"/>
      <c r="F1" s="24"/>
      <c r="G1" s="24"/>
      <c r="H1" s="24"/>
      <c r="I1" s="24"/>
      <c r="J1" s="24"/>
    </row>
    <row r="2" spans="1:13" ht="12" customHeight="1" x14ac:dyDescent="0.3">
      <c r="A2" s="24"/>
      <c r="B2" s="24"/>
      <c r="C2" s="24"/>
      <c r="D2" s="24"/>
      <c r="E2" s="24"/>
      <c r="F2" s="24"/>
      <c r="G2" s="24"/>
      <c r="H2" s="24"/>
      <c r="I2" s="24"/>
      <c r="J2" s="24"/>
    </row>
    <row r="4" spans="1:13" ht="14.6" customHeight="1" x14ac:dyDescent="0.35">
      <c r="A4" s="1" t="s">
        <v>187</v>
      </c>
      <c r="B4" s="23" t="s">
        <v>261</v>
      </c>
      <c r="C4" s="24"/>
      <c r="D4" s="24"/>
      <c r="E4" s="24"/>
      <c r="F4" s="24"/>
      <c r="G4" s="24"/>
      <c r="H4" s="24"/>
      <c r="I4" s="24"/>
      <c r="J4" s="24"/>
    </row>
    <row r="5" spans="1:13" ht="14.6" customHeight="1" x14ac:dyDescent="0.35">
      <c r="A5" s="1" t="s">
        <v>189</v>
      </c>
      <c r="B5" s="23" t="s">
        <v>190</v>
      </c>
      <c r="C5" s="24"/>
      <c r="D5" s="24"/>
      <c r="E5" s="24"/>
      <c r="F5" s="24"/>
      <c r="G5" s="24"/>
      <c r="H5" s="24"/>
      <c r="I5" s="24"/>
      <c r="J5" s="24"/>
    </row>
    <row r="7" spans="1:13" x14ac:dyDescent="0.3">
      <c r="A7" s="2" t="s">
        <v>191</v>
      </c>
      <c r="B7" s="2" t="s">
        <v>192</v>
      </c>
      <c r="C7" s="2" t="s">
        <v>193</v>
      </c>
      <c r="D7" s="2" t="s">
        <v>37</v>
      </c>
      <c r="E7" s="2" t="s">
        <v>194</v>
      </c>
      <c r="F7" s="2" t="s">
        <v>195</v>
      </c>
      <c r="G7" s="2" t="s">
        <v>196</v>
      </c>
      <c r="H7" s="2" t="s">
        <v>197</v>
      </c>
      <c r="I7" s="2" t="s">
        <v>198</v>
      </c>
      <c r="J7" s="2" t="s">
        <v>32</v>
      </c>
      <c r="L7" s="2" t="s">
        <v>199</v>
      </c>
      <c r="M7" s="2" t="s">
        <v>200</v>
      </c>
    </row>
    <row r="8" spans="1:13" x14ac:dyDescent="0.3">
      <c r="A8" s="3">
        <v>1</v>
      </c>
      <c r="B8" s="3" t="s">
        <v>9</v>
      </c>
      <c r="C8" s="3" t="s">
        <v>262</v>
      </c>
      <c r="D8" s="3" t="s">
        <v>202</v>
      </c>
      <c r="E8" s="4">
        <v>22</v>
      </c>
      <c r="F8" s="4">
        <v>25</v>
      </c>
      <c r="G8" s="4">
        <v>1</v>
      </c>
      <c r="H8" s="9">
        <f t="shared" ref="H8:H32" si="0">E8*F8*G8</f>
        <v>550</v>
      </c>
      <c r="I8" s="3" t="s">
        <v>263</v>
      </c>
      <c r="J8" s="3" t="s">
        <v>51</v>
      </c>
      <c r="L8" s="3" t="s">
        <v>9</v>
      </c>
      <c r="M8" s="9">
        <f>SUMIF($B$8:$B$32,L8,$H$8:$H$32)</f>
        <v>4300</v>
      </c>
    </row>
    <row r="9" spans="1:13" x14ac:dyDescent="0.3">
      <c r="A9" s="3">
        <v>2</v>
      </c>
      <c r="B9" s="3" t="s">
        <v>9</v>
      </c>
      <c r="C9" s="3" t="s">
        <v>264</v>
      </c>
      <c r="D9" s="3" t="s">
        <v>205</v>
      </c>
      <c r="E9" s="4">
        <v>11</v>
      </c>
      <c r="F9" s="4">
        <v>100</v>
      </c>
      <c r="G9" s="4">
        <v>1</v>
      </c>
      <c r="H9" s="9">
        <f t="shared" si="0"/>
        <v>1100</v>
      </c>
      <c r="I9" s="3" t="s">
        <v>265</v>
      </c>
      <c r="J9" s="3" t="s">
        <v>51</v>
      </c>
      <c r="L9" s="3" t="s">
        <v>10</v>
      </c>
      <c r="M9" s="9">
        <f>SUMIF($B$8:$B$32,L9,$H$8:$H$32)</f>
        <v>2802</v>
      </c>
    </row>
    <row r="10" spans="1:13" x14ac:dyDescent="0.3">
      <c r="A10" s="3">
        <v>3</v>
      </c>
      <c r="B10" s="3" t="s">
        <v>9</v>
      </c>
      <c r="C10" s="3" t="s">
        <v>266</v>
      </c>
      <c r="D10" s="3" t="s">
        <v>239</v>
      </c>
      <c r="E10" s="4">
        <v>2</v>
      </c>
      <c r="F10" s="4">
        <v>300</v>
      </c>
      <c r="G10" s="4">
        <v>1</v>
      </c>
      <c r="H10" s="9">
        <f t="shared" si="0"/>
        <v>600</v>
      </c>
      <c r="I10" s="3" t="s">
        <v>267</v>
      </c>
      <c r="J10" s="3" t="s">
        <v>51</v>
      </c>
      <c r="L10" s="3" t="s">
        <v>11</v>
      </c>
      <c r="M10" s="9">
        <f>SUMIF($B$8:$B$32,L10,$H$8:$H$32)</f>
        <v>900</v>
      </c>
    </row>
    <row r="11" spans="1:13" x14ac:dyDescent="0.3">
      <c r="A11" s="3">
        <v>4</v>
      </c>
      <c r="B11" s="3" t="s">
        <v>9</v>
      </c>
      <c r="C11" s="3" t="s">
        <v>268</v>
      </c>
      <c r="D11" s="3" t="s">
        <v>202</v>
      </c>
      <c r="E11" s="4">
        <v>1</v>
      </c>
      <c r="F11" s="4">
        <v>400</v>
      </c>
      <c r="G11" s="4">
        <v>1</v>
      </c>
      <c r="H11" s="9">
        <f t="shared" si="0"/>
        <v>400</v>
      </c>
      <c r="I11" s="3" t="s">
        <v>269</v>
      </c>
      <c r="J11" s="3" t="s">
        <v>70</v>
      </c>
      <c r="L11" s="3" t="s">
        <v>12</v>
      </c>
      <c r="M11" s="9">
        <f>SUMIF($B$8:$B$32,L11,$H$8:$H$32)</f>
        <v>4023.6</v>
      </c>
    </row>
    <row r="12" spans="1:13" x14ac:dyDescent="0.3">
      <c r="A12" s="3">
        <v>5</v>
      </c>
      <c r="B12" s="3" t="s">
        <v>9</v>
      </c>
      <c r="C12" s="3" t="s">
        <v>270</v>
      </c>
      <c r="D12" s="3" t="s">
        <v>202</v>
      </c>
      <c r="E12" s="4">
        <v>11</v>
      </c>
      <c r="F12" s="4">
        <v>50</v>
      </c>
      <c r="G12" s="4">
        <v>1</v>
      </c>
      <c r="H12" s="9">
        <f t="shared" si="0"/>
        <v>550</v>
      </c>
      <c r="I12" s="3" t="s">
        <v>271</v>
      </c>
      <c r="J12" s="3" t="s">
        <v>70</v>
      </c>
    </row>
    <row r="13" spans="1:13" x14ac:dyDescent="0.3">
      <c r="A13" s="3">
        <v>6</v>
      </c>
      <c r="B13" s="3" t="s">
        <v>9</v>
      </c>
      <c r="C13" s="3" t="s">
        <v>272</v>
      </c>
      <c r="D13" s="3" t="s">
        <v>202</v>
      </c>
      <c r="E13" s="4">
        <v>1</v>
      </c>
      <c r="F13" s="4">
        <v>600</v>
      </c>
      <c r="G13" s="4">
        <v>1</v>
      </c>
      <c r="H13" s="9">
        <f t="shared" si="0"/>
        <v>600</v>
      </c>
      <c r="I13" s="3" t="s">
        <v>273</v>
      </c>
      <c r="J13" s="3" t="s">
        <v>70</v>
      </c>
    </row>
    <row r="14" spans="1:13" x14ac:dyDescent="0.3">
      <c r="A14" s="3">
        <v>7</v>
      </c>
      <c r="B14" s="3" t="s">
        <v>9</v>
      </c>
      <c r="C14" s="3" t="s">
        <v>274</v>
      </c>
      <c r="D14" s="3" t="s">
        <v>202</v>
      </c>
      <c r="E14" s="4">
        <v>10</v>
      </c>
      <c r="F14" s="4">
        <v>50</v>
      </c>
      <c r="G14" s="4">
        <v>1</v>
      </c>
      <c r="H14" s="9">
        <f t="shared" si="0"/>
        <v>500</v>
      </c>
      <c r="I14" s="3" t="s">
        <v>275</v>
      </c>
      <c r="J14" s="3" t="s">
        <v>70</v>
      </c>
    </row>
    <row r="15" spans="1:13" x14ac:dyDescent="0.3">
      <c r="A15" s="3">
        <v>8</v>
      </c>
      <c r="B15" s="3" t="s">
        <v>10</v>
      </c>
      <c r="C15" s="3" t="s">
        <v>246</v>
      </c>
      <c r="D15" s="3" t="s">
        <v>214</v>
      </c>
      <c r="E15" s="3">
        <f>算力模型!B19</f>
        <v>56000</v>
      </c>
      <c r="F15" s="3">
        <f>算力模型!$B$12</f>
        <v>1.5E-3</v>
      </c>
      <c r="G15" s="3">
        <f>算力模型!H19</f>
        <v>3</v>
      </c>
      <c r="H15" s="9">
        <f t="shared" si="0"/>
        <v>252</v>
      </c>
      <c r="I15" s="3" t="s">
        <v>276</v>
      </c>
      <c r="J15" s="3" t="s">
        <v>63</v>
      </c>
    </row>
    <row r="16" spans="1:13" x14ac:dyDescent="0.3">
      <c r="A16" s="3">
        <v>9</v>
      </c>
      <c r="B16" s="3" t="s">
        <v>10</v>
      </c>
      <c r="C16" s="3" t="s">
        <v>248</v>
      </c>
      <c r="D16" s="3" t="s">
        <v>214</v>
      </c>
      <c r="E16" s="3">
        <f>算力模型!C19</f>
        <v>40000</v>
      </c>
      <c r="F16" s="3">
        <f>算力模型!$B$11</f>
        <v>4.4999999999999997E-3</v>
      </c>
      <c r="G16" s="3">
        <f>算力模型!H19</f>
        <v>3</v>
      </c>
      <c r="H16" s="9">
        <f t="shared" si="0"/>
        <v>540</v>
      </c>
      <c r="I16" s="3" t="s">
        <v>277</v>
      </c>
      <c r="J16" s="3" t="s">
        <v>59</v>
      </c>
    </row>
    <row r="17" spans="1:10" x14ac:dyDescent="0.3">
      <c r="A17" s="3">
        <v>10</v>
      </c>
      <c r="B17" s="3" t="s">
        <v>10</v>
      </c>
      <c r="C17" s="3" t="s">
        <v>216</v>
      </c>
      <c r="D17" s="3" t="s">
        <v>41</v>
      </c>
      <c r="E17" s="4">
        <v>1</v>
      </c>
      <c r="F17" s="3">
        <f>算力模型!D19</f>
        <v>300</v>
      </c>
      <c r="G17" s="3">
        <f>算力模型!H19</f>
        <v>3</v>
      </c>
      <c r="H17" s="9">
        <f t="shared" si="0"/>
        <v>900</v>
      </c>
      <c r="I17" s="3" t="s">
        <v>278</v>
      </c>
      <c r="J17" s="3" t="s">
        <v>39</v>
      </c>
    </row>
    <row r="18" spans="1:10" x14ac:dyDescent="0.3">
      <c r="A18" s="3">
        <v>11</v>
      </c>
      <c r="B18" s="3" t="s">
        <v>10</v>
      </c>
      <c r="C18" s="3" t="s">
        <v>218</v>
      </c>
      <c r="D18" s="3" t="s">
        <v>41</v>
      </c>
      <c r="E18" s="4">
        <v>1</v>
      </c>
      <c r="F18" s="3">
        <f>算力模型!E19</f>
        <v>220</v>
      </c>
      <c r="G18" s="3">
        <f>算力模型!H19</f>
        <v>3</v>
      </c>
      <c r="H18" s="9">
        <f t="shared" si="0"/>
        <v>660</v>
      </c>
      <c r="I18" s="3" t="s">
        <v>251</v>
      </c>
      <c r="J18" s="3" t="s">
        <v>39</v>
      </c>
    </row>
    <row r="19" spans="1:10" x14ac:dyDescent="0.3">
      <c r="A19" s="3">
        <v>12</v>
      </c>
      <c r="B19" s="3" t="s">
        <v>10</v>
      </c>
      <c r="C19" s="3" t="s">
        <v>279</v>
      </c>
      <c r="D19" s="3" t="s">
        <v>41</v>
      </c>
      <c r="E19" s="4">
        <v>1</v>
      </c>
      <c r="F19" s="3">
        <f>算力模型!F19</f>
        <v>150</v>
      </c>
      <c r="G19" s="3">
        <f>算力模型!H19</f>
        <v>3</v>
      </c>
      <c r="H19" s="9">
        <f t="shared" si="0"/>
        <v>450</v>
      </c>
      <c r="I19" s="3" t="s">
        <v>280</v>
      </c>
      <c r="J19" s="3" t="s">
        <v>78</v>
      </c>
    </row>
    <row r="20" spans="1:10" x14ac:dyDescent="0.3">
      <c r="A20" s="3">
        <v>13</v>
      </c>
      <c r="B20" s="3" t="s">
        <v>11</v>
      </c>
      <c r="C20" s="3" t="s">
        <v>252</v>
      </c>
      <c r="D20" s="3" t="s">
        <v>221</v>
      </c>
      <c r="E20" s="4">
        <v>1</v>
      </c>
      <c r="F20" s="4">
        <v>250</v>
      </c>
      <c r="G20" s="4">
        <v>1</v>
      </c>
      <c r="H20" s="9">
        <f t="shared" si="0"/>
        <v>250</v>
      </c>
      <c r="I20" s="3" t="s">
        <v>281</v>
      </c>
      <c r="J20" s="3" t="s">
        <v>81</v>
      </c>
    </row>
    <row r="21" spans="1:10" x14ac:dyDescent="0.3">
      <c r="A21" s="3">
        <v>14</v>
      </c>
      <c r="B21" s="3" t="s">
        <v>11</v>
      </c>
      <c r="C21" s="3" t="s">
        <v>282</v>
      </c>
      <c r="D21" s="3" t="s">
        <v>221</v>
      </c>
      <c r="E21" s="4">
        <v>1</v>
      </c>
      <c r="F21" s="4">
        <v>180</v>
      </c>
      <c r="G21" s="4">
        <v>1</v>
      </c>
      <c r="H21" s="9">
        <f t="shared" si="0"/>
        <v>180</v>
      </c>
      <c r="I21" s="3" t="s">
        <v>255</v>
      </c>
      <c r="J21" s="3" t="s">
        <v>81</v>
      </c>
    </row>
    <row r="22" spans="1:10" x14ac:dyDescent="0.3">
      <c r="A22" s="3">
        <v>15</v>
      </c>
      <c r="B22" s="3" t="s">
        <v>11</v>
      </c>
      <c r="C22" s="3" t="s">
        <v>256</v>
      </c>
      <c r="D22" s="3" t="s">
        <v>221</v>
      </c>
      <c r="E22" s="4">
        <v>1</v>
      </c>
      <c r="F22" s="4">
        <v>180</v>
      </c>
      <c r="G22" s="4">
        <v>1</v>
      </c>
      <c r="H22" s="9">
        <f t="shared" si="0"/>
        <v>180</v>
      </c>
      <c r="I22" s="3" t="s">
        <v>283</v>
      </c>
      <c r="J22" s="3" t="s">
        <v>81</v>
      </c>
    </row>
    <row r="23" spans="1:10" x14ac:dyDescent="0.3">
      <c r="A23" s="3">
        <v>16</v>
      </c>
      <c r="B23" s="3" t="s">
        <v>11</v>
      </c>
      <c r="C23" s="3" t="s">
        <v>284</v>
      </c>
      <c r="D23" s="3" t="s">
        <v>221</v>
      </c>
      <c r="E23" s="4">
        <v>1</v>
      </c>
      <c r="F23" s="4">
        <v>150</v>
      </c>
      <c r="G23" s="4">
        <v>1</v>
      </c>
      <c r="H23" s="9">
        <f t="shared" si="0"/>
        <v>150</v>
      </c>
      <c r="I23" s="3" t="s">
        <v>224</v>
      </c>
      <c r="J23" s="3" t="s">
        <v>81</v>
      </c>
    </row>
    <row r="24" spans="1:10" x14ac:dyDescent="0.3">
      <c r="A24" s="3">
        <v>17</v>
      </c>
      <c r="B24" s="3" t="s">
        <v>11</v>
      </c>
      <c r="C24" s="3" t="s">
        <v>285</v>
      </c>
      <c r="D24" s="3" t="s">
        <v>221</v>
      </c>
      <c r="E24" s="4">
        <v>1</v>
      </c>
      <c r="F24" s="4">
        <v>140</v>
      </c>
      <c r="G24" s="4">
        <v>1</v>
      </c>
      <c r="H24" s="9">
        <f t="shared" si="0"/>
        <v>140</v>
      </c>
      <c r="I24" s="3" t="s">
        <v>286</v>
      </c>
      <c r="J24" s="3" t="s">
        <v>81</v>
      </c>
    </row>
    <row r="25" spans="1:10" x14ac:dyDescent="0.3">
      <c r="A25" s="3">
        <v>18</v>
      </c>
      <c r="B25" s="3" t="s">
        <v>12</v>
      </c>
      <c r="C25" s="3" t="s">
        <v>151</v>
      </c>
      <c r="D25" s="3" t="s">
        <v>229</v>
      </c>
      <c r="E25" s="3">
        <f>人力模型!E7</f>
        <v>30</v>
      </c>
      <c r="F25" s="3">
        <f>人力模型!$B$7</f>
        <v>40</v>
      </c>
      <c r="G25" s="4">
        <v>1</v>
      </c>
      <c r="H25" s="9">
        <f t="shared" si="0"/>
        <v>1200</v>
      </c>
      <c r="I25" s="3" t="s">
        <v>152</v>
      </c>
      <c r="J25" s="3" t="s">
        <v>66</v>
      </c>
    </row>
    <row r="26" spans="1:10" x14ac:dyDescent="0.3">
      <c r="A26" s="3">
        <v>19</v>
      </c>
      <c r="B26" s="3" t="s">
        <v>12</v>
      </c>
      <c r="C26" s="3" t="s">
        <v>153</v>
      </c>
      <c r="D26" s="3" t="s">
        <v>229</v>
      </c>
      <c r="E26" s="3">
        <f>人力模型!E8</f>
        <v>30</v>
      </c>
      <c r="F26" s="3">
        <f>人力模型!$B$8</f>
        <v>40</v>
      </c>
      <c r="G26" s="4">
        <v>1</v>
      </c>
      <c r="H26" s="9">
        <f t="shared" si="0"/>
        <v>1200</v>
      </c>
      <c r="I26" s="3" t="s">
        <v>154</v>
      </c>
      <c r="J26" s="3" t="s">
        <v>66</v>
      </c>
    </row>
    <row r="27" spans="1:10" x14ac:dyDescent="0.3">
      <c r="A27" s="3">
        <v>20</v>
      </c>
      <c r="B27" s="3" t="s">
        <v>12</v>
      </c>
      <c r="C27" s="3" t="s">
        <v>155</v>
      </c>
      <c r="D27" s="3" t="s">
        <v>229</v>
      </c>
      <c r="E27" s="3">
        <f>人力模型!E9</f>
        <v>180</v>
      </c>
      <c r="F27" s="3">
        <f>人力模型!$B$9</f>
        <v>4.8000000000000007</v>
      </c>
      <c r="G27" s="4">
        <v>1</v>
      </c>
      <c r="H27" s="9">
        <f t="shared" si="0"/>
        <v>864.00000000000011</v>
      </c>
      <c r="I27" s="3" t="s">
        <v>156</v>
      </c>
      <c r="J27" s="3" t="s">
        <v>66</v>
      </c>
    </row>
    <row r="28" spans="1:10" x14ac:dyDescent="0.3">
      <c r="A28" s="3">
        <v>21</v>
      </c>
      <c r="B28" s="3" t="s">
        <v>12</v>
      </c>
      <c r="C28" s="3" t="s">
        <v>157</v>
      </c>
      <c r="D28" s="3" t="s">
        <v>229</v>
      </c>
      <c r="E28" s="3">
        <f>人力模型!E10</f>
        <v>6</v>
      </c>
      <c r="F28" s="3">
        <f>人力模型!$B$10</f>
        <v>40</v>
      </c>
      <c r="G28" s="4">
        <v>1</v>
      </c>
      <c r="H28" s="9">
        <f t="shared" si="0"/>
        <v>240</v>
      </c>
      <c r="I28" s="3" t="s">
        <v>158</v>
      </c>
      <c r="J28" s="3" t="s">
        <v>66</v>
      </c>
    </row>
    <row r="29" spans="1:10" x14ac:dyDescent="0.3">
      <c r="A29" s="3">
        <v>22</v>
      </c>
      <c r="B29" s="3" t="s">
        <v>12</v>
      </c>
      <c r="C29" s="3" t="s">
        <v>159</v>
      </c>
      <c r="D29" s="3" t="s">
        <v>229</v>
      </c>
      <c r="E29" s="3">
        <f>人力模型!E11</f>
        <v>18</v>
      </c>
      <c r="F29" s="3">
        <f>人力模型!$B$11</f>
        <v>4.8000000000000007</v>
      </c>
      <c r="G29" s="4">
        <v>1</v>
      </c>
      <c r="H29" s="9">
        <f t="shared" si="0"/>
        <v>86.4</v>
      </c>
      <c r="I29" s="3" t="s">
        <v>160</v>
      </c>
      <c r="J29" s="3" t="s">
        <v>66</v>
      </c>
    </row>
    <row r="30" spans="1:10" x14ac:dyDescent="0.3">
      <c r="A30" s="3">
        <v>23</v>
      </c>
      <c r="B30" s="3" t="s">
        <v>12</v>
      </c>
      <c r="C30" s="3" t="s">
        <v>161</v>
      </c>
      <c r="D30" s="3" t="s">
        <v>229</v>
      </c>
      <c r="E30" s="3">
        <f>人力模型!E12</f>
        <v>3</v>
      </c>
      <c r="F30" s="3">
        <f>人力模型!$B$12</f>
        <v>50</v>
      </c>
      <c r="G30" s="4">
        <v>1</v>
      </c>
      <c r="H30" s="9">
        <f t="shared" si="0"/>
        <v>150</v>
      </c>
      <c r="I30" s="3" t="s">
        <v>162</v>
      </c>
      <c r="J30" s="3" t="s">
        <v>66</v>
      </c>
    </row>
    <row r="31" spans="1:10" x14ac:dyDescent="0.3">
      <c r="A31" s="3">
        <v>24</v>
      </c>
      <c r="B31" s="3" t="s">
        <v>12</v>
      </c>
      <c r="C31" s="3" t="s">
        <v>163</v>
      </c>
      <c r="D31" s="3" t="s">
        <v>229</v>
      </c>
      <c r="E31" s="3">
        <f>人力模型!E13</f>
        <v>6</v>
      </c>
      <c r="F31" s="3">
        <f>人力模型!$B$13</f>
        <v>40</v>
      </c>
      <c r="G31" s="4">
        <v>1</v>
      </c>
      <c r="H31" s="9">
        <f t="shared" si="0"/>
        <v>240</v>
      </c>
      <c r="I31" s="3" t="s">
        <v>164</v>
      </c>
      <c r="J31" s="3" t="s">
        <v>66</v>
      </c>
    </row>
    <row r="32" spans="1:10" x14ac:dyDescent="0.3">
      <c r="A32" s="3">
        <v>25</v>
      </c>
      <c r="B32" s="3" t="s">
        <v>12</v>
      </c>
      <c r="C32" s="3" t="s">
        <v>165</v>
      </c>
      <c r="D32" s="3" t="s">
        <v>229</v>
      </c>
      <c r="E32" s="3">
        <f>人力模型!E14</f>
        <v>9</v>
      </c>
      <c r="F32" s="3">
        <f>人力模型!$B$14</f>
        <v>4.8000000000000007</v>
      </c>
      <c r="G32" s="4">
        <v>1</v>
      </c>
      <c r="H32" s="9">
        <f t="shared" si="0"/>
        <v>43.2</v>
      </c>
      <c r="I32" s="3" t="s">
        <v>166</v>
      </c>
      <c r="J32" s="3" t="s">
        <v>66</v>
      </c>
    </row>
    <row r="34" spans="7:8" ht="14.6" customHeight="1" x14ac:dyDescent="0.35">
      <c r="G34" s="6" t="s">
        <v>230</v>
      </c>
      <c r="H34" s="19">
        <f>SUM(H8:H32)</f>
        <v>12025.6</v>
      </c>
    </row>
    <row r="35" spans="7:8" ht="14.6" customHeight="1" x14ac:dyDescent="0.35">
      <c r="G35" s="6" t="s">
        <v>13</v>
      </c>
      <c r="H35" s="19">
        <f>H34*假设与口径!$C$22</f>
        <v>2405.1200000000003</v>
      </c>
    </row>
    <row r="36" spans="7:8" ht="14.6" customHeight="1" x14ac:dyDescent="0.35">
      <c r="G36" s="7" t="s">
        <v>231</v>
      </c>
      <c r="H36" s="20">
        <f>H34+H35</f>
        <v>14430.720000000001</v>
      </c>
    </row>
  </sheetData>
  <autoFilter ref="A7:J32" xr:uid="{00000000-0009-0000-0000-000006000000}"/>
  <mergeCells count="3">
    <mergeCell ref="A1:J2"/>
    <mergeCell ref="B5:J5"/>
    <mergeCell ref="B4:J4"/>
  </mergeCells>
  <phoneticPr fontId="8" type="noConversion"/>
  <pageMargins left="0.3" right="0.3" top="0.5" bottom="0.5" header="0.5" footer="0.5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showGridLines="0" workbookViewId="0">
      <pane ySplit="5" topLeftCell="A6" activePane="bottomLeft" state="frozen"/>
      <selection pane="bottomLeft"/>
    </sheetView>
  </sheetViews>
  <sheetFormatPr defaultRowHeight="14.15" x14ac:dyDescent="0.3"/>
  <cols>
    <col min="1" max="1" width="19" style="8" customWidth="1"/>
    <col min="2" max="2" width="36" style="8" customWidth="1"/>
    <col min="3" max="3" width="40" style="8" customWidth="1"/>
    <col min="4" max="4" width="43" style="8" customWidth="1"/>
    <col min="5" max="5" width="40" style="8" customWidth="1"/>
  </cols>
  <sheetData>
    <row r="1" spans="1:5" ht="26.05" customHeight="1" x14ac:dyDescent="0.3">
      <c r="A1" s="26" t="s">
        <v>287</v>
      </c>
      <c r="B1" s="24"/>
      <c r="C1" s="24"/>
      <c r="D1" s="24"/>
      <c r="E1" s="24"/>
    </row>
    <row r="2" spans="1:5" ht="12" customHeight="1" x14ac:dyDescent="0.3">
      <c r="A2" s="24"/>
      <c r="B2" s="24"/>
      <c r="C2" s="24"/>
      <c r="D2" s="24"/>
      <c r="E2" s="24"/>
    </row>
    <row r="5" spans="1:5" x14ac:dyDescent="0.3">
      <c r="A5" s="2" t="s">
        <v>288</v>
      </c>
      <c r="B5" s="2" t="s">
        <v>19</v>
      </c>
      <c r="C5" s="2" t="s">
        <v>21</v>
      </c>
      <c r="D5" s="2" t="s">
        <v>23</v>
      </c>
      <c r="E5" s="2" t="s">
        <v>289</v>
      </c>
    </row>
    <row r="6" spans="1:5" x14ac:dyDescent="0.3">
      <c r="A6" s="3" t="s">
        <v>290</v>
      </c>
      <c r="B6" s="3" t="s">
        <v>291</v>
      </c>
      <c r="C6" s="3" t="s">
        <v>292</v>
      </c>
      <c r="D6" s="3" t="s">
        <v>293</v>
      </c>
      <c r="E6" s="3" t="s">
        <v>294</v>
      </c>
    </row>
    <row r="7" spans="1:5" x14ac:dyDescent="0.3">
      <c r="A7" s="3" t="s">
        <v>295</v>
      </c>
      <c r="B7" s="3" t="s">
        <v>296</v>
      </c>
      <c r="C7" s="3" t="s">
        <v>297</v>
      </c>
      <c r="D7" s="3" t="s">
        <v>298</v>
      </c>
      <c r="E7" s="3" t="s">
        <v>299</v>
      </c>
    </row>
    <row r="8" spans="1:5" x14ac:dyDescent="0.3">
      <c r="A8" s="3" t="s">
        <v>300</v>
      </c>
      <c r="B8" s="3" t="s">
        <v>301</v>
      </c>
      <c r="C8" s="3" t="s">
        <v>302</v>
      </c>
      <c r="D8" s="3" t="s">
        <v>303</v>
      </c>
      <c r="E8" s="3" t="s">
        <v>304</v>
      </c>
    </row>
    <row r="9" spans="1:5" x14ac:dyDescent="0.3">
      <c r="A9" s="3" t="s">
        <v>305</v>
      </c>
      <c r="B9" s="3" t="s">
        <v>306</v>
      </c>
      <c r="C9" s="3" t="s">
        <v>307</v>
      </c>
      <c r="D9" s="3" t="s">
        <v>308</v>
      </c>
      <c r="E9" s="3" t="s">
        <v>309</v>
      </c>
    </row>
    <row r="10" spans="1:5" x14ac:dyDescent="0.3">
      <c r="A10" s="3" t="s">
        <v>310</v>
      </c>
      <c r="B10" s="3" t="s">
        <v>311</v>
      </c>
      <c r="C10" s="3" t="s">
        <v>312</v>
      </c>
      <c r="D10" s="3" t="s">
        <v>313</v>
      </c>
      <c r="E10" s="3" t="s">
        <v>314</v>
      </c>
    </row>
    <row r="11" spans="1:5" x14ac:dyDescent="0.3">
      <c r="A11" s="3" t="s">
        <v>315</v>
      </c>
      <c r="B11" s="3" t="s">
        <v>316</v>
      </c>
      <c r="C11" s="3" t="s">
        <v>317</v>
      </c>
      <c r="D11" s="3" t="s">
        <v>318</v>
      </c>
      <c r="E11" s="3" t="s">
        <v>319</v>
      </c>
    </row>
    <row r="12" spans="1:5" x14ac:dyDescent="0.3">
      <c r="A12" s="3" t="s">
        <v>320</v>
      </c>
      <c r="B12" s="3" t="s">
        <v>321</v>
      </c>
      <c r="C12" s="3" t="s">
        <v>322</v>
      </c>
      <c r="D12" s="3" t="s">
        <v>323</v>
      </c>
      <c r="E12" s="3" t="s">
        <v>324</v>
      </c>
    </row>
    <row r="13" spans="1:5" x14ac:dyDescent="0.3">
      <c r="A13" s="3" t="s">
        <v>325</v>
      </c>
      <c r="B13" s="3" t="s">
        <v>326</v>
      </c>
      <c r="C13" s="3" t="s">
        <v>327</v>
      </c>
      <c r="D13" s="3" t="s">
        <v>328</v>
      </c>
      <c r="E13" s="3" t="s">
        <v>329</v>
      </c>
    </row>
  </sheetData>
  <mergeCells count="1">
    <mergeCell ref="A1:E2"/>
  </mergeCells>
  <phoneticPr fontId="8" type="noConversion"/>
  <pageMargins left="0.3" right="0.3" top="0.5" bottom="0.5" header="0.5" footer="0.5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showGridLines="0" workbookViewId="0">
      <pane ySplit="5" topLeftCell="A6" activePane="bottomLeft" state="frozen"/>
      <selection pane="bottomLeft"/>
    </sheetView>
  </sheetViews>
  <sheetFormatPr defaultRowHeight="14.15" x14ac:dyDescent="0.3"/>
  <cols>
    <col min="1" max="1" width="11" style="8" customWidth="1"/>
    <col min="2" max="2" width="33" style="8" customWidth="1"/>
    <col min="3" max="3" width="25" style="8" customWidth="1"/>
    <col min="4" max="4" width="18" style="8" customWidth="1"/>
    <col min="5" max="5" width="47" style="8" customWidth="1"/>
    <col min="6" max="6" width="58" style="8" customWidth="1"/>
    <col min="7" max="7" width="38" style="8" customWidth="1"/>
  </cols>
  <sheetData>
    <row r="1" spans="1:7" ht="26.05" customHeight="1" x14ac:dyDescent="0.3">
      <c r="A1" s="26" t="s">
        <v>330</v>
      </c>
      <c r="B1" s="24"/>
      <c r="C1" s="24"/>
      <c r="D1" s="24"/>
      <c r="E1" s="24"/>
      <c r="F1" s="24"/>
      <c r="G1" s="24"/>
    </row>
    <row r="2" spans="1:7" ht="12" customHeight="1" x14ac:dyDescent="0.3">
      <c r="A2" s="24"/>
      <c r="B2" s="24"/>
      <c r="C2" s="24"/>
      <c r="D2" s="24"/>
      <c r="E2" s="24"/>
      <c r="F2" s="24"/>
      <c r="G2" s="24"/>
    </row>
    <row r="5" spans="1:7" x14ac:dyDescent="0.3">
      <c r="A5" s="2" t="s">
        <v>331</v>
      </c>
      <c r="B5" s="2" t="s">
        <v>332</v>
      </c>
      <c r="C5" s="2" t="s">
        <v>333</v>
      </c>
      <c r="D5" s="2" t="s">
        <v>334</v>
      </c>
      <c r="E5" s="2" t="s">
        <v>335</v>
      </c>
      <c r="F5" s="2" t="s">
        <v>336</v>
      </c>
      <c r="G5" s="2" t="s">
        <v>337</v>
      </c>
    </row>
    <row r="6" spans="1:7" x14ac:dyDescent="0.3">
      <c r="A6" s="3" t="s">
        <v>338</v>
      </c>
      <c r="B6" s="3" t="s">
        <v>339</v>
      </c>
      <c r="C6" s="3" t="s">
        <v>340</v>
      </c>
      <c r="D6" s="3" t="s">
        <v>341</v>
      </c>
      <c r="E6" s="3" t="s">
        <v>342</v>
      </c>
      <c r="F6" s="3" t="s">
        <v>343</v>
      </c>
      <c r="G6" s="3" t="s">
        <v>344</v>
      </c>
    </row>
    <row r="7" spans="1:7" x14ac:dyDescent="0.3">
      <c r="A7" s="3" t="s">
        <v>345</v>
      </c>
      <c r="B7" s="3" t="s">
        <v>346</v>
      </c>
      <c r="C7" s="3" t="s">
        <v>347</v>
      </c>
      <c r="D7" s="3" t="s">
        <v>348</v>
      </c>
      <c r="E7" s="3" t="s">
        <v>349</v>
      </c>
      <c r="F7" s="3" t="s">
        <v>350</v>
      </c>
      <c r="G7" s="3" t="s">
        <v>351</v>
      </c>
    </row>
    <row r="8" spans="1:7" x14ac:dyDescent="0.3">
      <c r="A8" s="3" t="s">
        <v>352</v>
      </c>
      <c r="B8" s="3" t="s">
        <v>353</v>
      </c>
      <c r="C8" s="3" t="s">
        <v>354</v>
      </c>
      <c r="D8" s="3" t="s">
        <v>355</v>
      </c>
      <c r="E8" s="3" t="s">
        <v>356</v>
      </c>
      <c r="F8" s="3" t="s">
        <v>357</v>
      </c>
      <c r="G8" s="3" t="s">
        <v>358</v>
      </c>
    </row>
    <row r="9" spans="1:7" x14ac:dyDescent="0.3">
      <c r="A9" s="3" t="s">
        <v>359</v>
      </c>
      <c r="B9" s="3" t="s">
        <v>360</v>
      </c>
      <c r="C9" s="3" t="s">
        <v>361</v>
      </c>
      <c r="D9" s="3" t="s">
        <v>348</v>
      </c>
      <c r="E9" s="3" t="s">
        <v>362</v>
      </c>
      <c r="F9" s="3" t="s">
        <v>363</v>
      </c>
      <c r="G9" s="3" t="s">
        <v>364</v>
      </c>
    </row>
    <row r="10" spans="1:7" x14ac:dyDescent="0.3">
      <c r="A10" s="3" t="s">
        <v>365</v>
      </c>
      <c r="B10" s="3" t="s">
        <v>366</v>
      </c>
      <c r="C10" s="3" t="s">
        <v>367</v>
      </c>
      <c r="D10" s="3" t="s">
        <v>348</v>
      </c>
      <c r="E10" s="3" t="s">
        <v>368</v>
      </c>
      <c r="F10" s="3" t="s">
        <v>369</v>
      </c>
      <c r="G10" s="3" t="s">
        <v>370</v>
      </c>
    </row>
    <row r="11" spans="1:7" x14ac:dyDescent="0.3">
      <c r="A11" s="3" t="s">
        <v>371</v>
      </c>
      <c r="B11" s="3" t="s">
        <v>372</v>
      </c>
      <c r="C11" s="3" t="s">
        <v>373</v>
      </c>
      <c r="D11" s="3" t="s">
        <v>348</v>
      </c>
      <c r="E11" s="3" t="s">
        <v>374</v>
      </c>
      <c r="F11" s="3" t="s">
        <v>375</v>
      </c>
      <c r="G11" s="3" t="s">
        <v>376</v>
      </c>
    </row>
    <row r="12" spans="1:7" x14ac:dyDescent="0.3">
      <c r="A12" s="3" t="s">
        <v>377</v>
      </c>
      <c r="B12" s="3" t="s">
        <v>378</v>
      </c>
      <c r="C12" s="3" t="s">
        <v>379</v>
      </c>
      <c r="D12" s="3" t="s">
        <v>380</v>
      </c>
      <c r="E12" s="3" t="s">
        <v>381</v>
      </c>
      <c r="F12" s="3" t="s">
        <v>382</v>
      </c>
      <c r="G12" s="3" t="s">
        <v>383</v>
      </c>
    </row>
    <row r="13" spans="1:7" ht="24.9" x14ac:dyDescent="0.3">
      <c r="A13" s="3" t="s">
        <v>384</v>
      </c>
      <c r="B13" s="3" t="s">
        <v>385</v>
      </c>
      <c r="C13" s="3" t="s">
        <v>386</v>
      </c>
      <c r="D13" s="3" t="s">
        <v>387</v>
      </c>
      <c r="E13" s="3" t="s">
        <v>388</v>
      </c>
      <c r="F13" s="3" t="s">
        <v>389</v>
      </c>
      <c r="G13" s="3" t="s">
        <v>390</v>
      </c>
    </row>
  </sheetData>
  <mergeCells count="1">
    <mergeCell ref="A1:G2"/>
  </mergeCells>
  <phoneticPr fontId="8" type="noConversion"/>
  <hyperlinks>
    <hyperlink ref="F6" r:id="rId1" xr:uid="{00000000-0004-0000-0800-000000000000}"/>
    <hyperlink ref="F7" r:id="rId2" xr:uid="{00000000-0004-0000-0800-000001000000}"/>
    <hyperlink ref="F8" r:id="rId3" xr:uid="{00000000-0004-0000-0800-000002000000}"/>
    <hyperlink ref="F9" r:id="rId4" xr:uid="{00000000-0004-0000-0800-000003000000}"/>
    <hyperlink ref="F10" r:id="rId5" xr:uid="{00000000-0004-0000-0800-000004000000}"/>
    <hyperlink ref="F11" r:id="rId6" xr:uid="{00000000-0004-0000-0800-000005000000}"/>
  </hyperlinks>
  <pageMargins left="0.3" right="0.3" top="0.5" bottom="0.5" header="0.5" footer="0.5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showGridLines="0" workbookViewId="0"/>
  </sheetViews>
  <sheetFormatPr defaultRowHeight="14.15" x14ac:dyDescent="0.3"/>
  <cols>
    <col min="1" max="1" width="11" style="8" customWidth="1"/>
    <col min="2" max="2" width="14" style="8" customWidth="1"/>
    <col min="3" max="3" width="18" style="8" customWidth="1"/>
    <col min="4" max="4" width="14" style="8" customWidth="1"/>
    <col min="5" max="5" width="18" style="8" customWidth="1"/>
    <col min="6" max="6" width="14" style="8" customWidth="1"/>
    <col min="7" max="8" width="18" style="8" customWidth="1"/>
  </cols>
  <sheetData>
    <row r="1" spans="1:8" ht="26.05" customHeight="1" x14ac:dyDescent="0.3">
      <c r="A1" s="26" t="s">
        <v>391</v>
      </c>
      <c r="B1" s="24"/>
      <c r="C1" s="24"/>
      <c r="D1" s="24"/>
      <c r="E1" s="24"/>
      <c r="F1" s="24"/>
      <c r="G1" s="24"/>
      <c r="H1" s="24"/>
    </row>
    <row r="2" spans="1:8" ht="12" customHeight="1" x14ac:dyDescent="0.3">
      <c r="A2" s="24"/>
      <c r="B2" s="24"/>
      <c r="C2" s="24"/>
      <c r="D2" s="24"/>
      <c r="E2" s="24"/>
      <c r="F2" s="24"/>
      <c r="G2" s="24"/>
      <c r="H2" s="24"/>
    </row>
    <row r="5" spans="1:8" x14ac:dyDescent="0.3">
      <c r="A5" s="2" t="s">
        <v>7</v>
      </c>
      <c r="B5" s="2" t="s">
        <v>392</v>
      </c>
      <c r="C5" s="2" t="s">
        <v>393</v>
      </c>
      <c r="D5" s="2" t="s">
        <v>394</v>
      </c>
      <c r="E5" s="2" t="s">
        <v>395</v>
      </c>
      <c r="F5" s="2" t="s">
        <v>396</v>
      </c>
      <c r="G5" s="2" t="s">
        <v>397</v>
      </c>
      <c r="H5" s="2" t="s">
        <v>167</v>
      </c>
    </row>
    <row r="6" spans="1:8" x14ac:dyDescent="0.3">
      <c r="A6" s="3" t="s">
        <v>19</v>
      </c>
      <c r="B6" s="11">
        <v>0.35</v>
      </c>
      <c r="C6" s="21">
        <f>预算摘要!$H$10*B6</f>
        <v>945.95550000000014</v>
      </c>
      <c r="D6" s="11">
        <v>0.4</v>
      </c>
      <c r="E6" s="21">
        <f>预算摘要!$H$10*D6</f>
        <v>1081.0920000000003</v>
      </c>
      <c r="F6" s="11">
        <v>0.25</v>
      </c>
      <c r="G6" s="21">
        <f>预算摘要!$H$10*F6</f>
        <v>675.68250000000012</v>
      </c>
      <c r="H6" s="22">
        <f>SUM(C6,E6,G6)</f>
        <v>2702.7300000000005</v>
      </c>
    </row>
    <row r="7" spans="1:8" x14ac:dyDescent="0.3">
      <c r="A7" s="3" t="s">
        <v>21</v>
      </c>
      <c r="B7" s="11">
        <v>0.3</v>
      </c>
      <c r="C7" s="21">
        <f>预算摘要!$H$11*B7</f>
        <v>2086.56</v>
      </c>
      <c r="D7" s="11">
        <v>0.45</v>
      </c>
      <c r="E7" s="21">
        <f>预算摘要!$H$11*D7</f>
        <v>3129.84</v>
      </c>
      <c r="F7" s="11">
        <v>0.25</v>
      </c>
      <c r="G7" s="21">
        <f>预算摘要!$H$11*F7</f>
        <v>1738.8</v>
      </c>
      <c r="H7" s="22">
        <f>SUM(C7,E7,G7)</f>
        <v>6955.2</v>
      </c>
    </row>
    <row r="8" spans="1:8" x14ac:dyDescent="0.3">
      <c r="A8" s="3" t="s">
        <v>23</v>
      </c>
      <c r="B8" s="11">
        <v>0.25</v>
      </c>
      <c r="C8" s="21">
        <f>预算摘要!$H$12*B8</f>
        <v>3607.6800000000003</v>
      </c>
      <c r="D8" s="11">
        <v>0.4</v>
      </c>
      <c r="E8" s="21">
        <f>预算摘要!$H$12*D8</f>
        <v>5772.2880000000005</v>
      </c>
      <c r="F8" s="11">
        <v>0.35</v>
      </c>
      <c r="G8" s="21">
        <f>预算摘要!$H$12*F8</f>
        <v>5050.7520000000004</v>
      </c>
      <c r="H8" s="22">
        <f>SUM(C8,E8,G8)</f>
        <v>14430.720000000001</v>
      </c>
    </row>
    <row r="11" spans="1:8" ht="14.6" customHeight="1" x14ac:dyDescent="0.35">
      <c r="A11" s="1" t="s">
        <v>398</v>
      </c>
      <c r="B11" s="25" t="s">
        <v>399</v>
      </c>
      <c r="C11" s="24"/>
      <c r="D11" s="24"/>
      <c r="E11" s="24"/>
      <c r="F11" s="24"/>
      <c r="G11" s="24"/>
      <c r="H11" s="24"/>
    </row>
  </sheetData>
  <mergeCells count="2">
    <mergeCell ref="A1:H2"/>
    <mergeCell ref="B11:H11"/>
  </mergeCells>
  <phoneticPr fontId="8" type="noConversion"/>
  <pageMargins left="0.3" right="0.3" top="0.5" bottom="0.5" header="0.5" footer="0.5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预算摘要</vt:lpstr>
      <vt:lpstr>假设与口径</vt:lpstr>
      <vt:lpstr>算力模型</vt:lpstr>
      <vt:lpstr>人力模型</vt:lpstr>
      <vt:lpstr>L1明细</vt:lpstr>
      <vt:lpstr>L2明细</vt:lpstr>
      <vt:lpstr>L3明细</vt:lpstr>
      <vt:lpstr>版本差异</vt:lpstr>
      <vt:lpstr>来源</vt:lpstr>
      <vt:lpstr>分年预算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振宇 黎</cp:lastModifiedBy>
  <dcterms:created xsi:type="dcterms:W3CDTF">2026-08-19T01:41:34Z</dcterms:created>
  <dcterms:modified xsi:type="dcterms:W3CDTF">2026-08-19T02:23:12Z</dcterms:modified>
</cp:coreProperties>
</file>